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hase plan" sheetId="2" state="visible" r:id="rId4"/>
    <sheet name="Issues" sheetId="3" state="visible" r:id="rId5"/>
    <sheet name="Live audit 9 Oct" sheetId="4" state="visible" r:id="rId6"/>
    <sheet name="Matrix" sheetId="5" state="visible" r:id="rId7"/>
    <sheet name="Acceptance tests" sheetId="6" state="visible" r:id="rId8"/>
    <sheet name="Owner decisions" sheetId="7" state="visible" r:id="rId9"/>
  </sheets>
  <definedNames>
    <definedName function="false" hidden="true" localSheetId="5" name="_xlnm._FilterDatabase" vbProcedure="false">'Acceptance tests'!$A$1:$I$21</definedName>
    <definedName function="false" hidden="true" localSheetId="2" name="_xlnm._FilterDatabase" vbProcedure="false">Issues!$A$1:$H$16</definedName>
    <definedName function="false" hidden="true" localSheetId="3" name="_xlnm._FilterDatabase" vbProcedure="false">'Live audit 9 Oct'!$A$1:$D$32</definedName>
    <definedName function="false" hidden="true" localSheetId="4" name="_xlnm._FilterDatabase" vbProcedure="false">Matrix!$A$1:$O$119</definedName>
    <definedName function="false" hidden="true" localSheetId="6" name="_xlnm._FilterDatabase" vbProcedure="false">'Owner decisions'!$A$1:$D$18</definedName>
    <definedName function="false" hidden="true" localSheetId="1" name="_xlnm._FilterDatabase" vbProcedure="false">'Phase plan'!$A$1:$L$9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<sst xmlns="http://schemas.openxmlformats.org/spreadsheetml/2006/main" count="2425" uniqueCount="1048">
  <si>
    <t xml:space="preserve">BankAuction.co - Requirement Matrix vs Spec v1.0 (9 Oct 2026)</t>
  </si>
  <si>
    <t xml:space="preserve">Basis: repo main at 6404be2 + live audit of auction.bizsocio.com on 9 Oct 2026 (see 'Live audit 9 Oct' and 'Issues' tabs). 'Not verified' means not confirmed, not missing.</t>
  </si>
  <si>
    <t xml:space="preserve">Status</t>
  </si>
  <si>
    <t xml:space="preserve">All</t>
  </si>
  <si>
    <t xml:space="preserve">P0 Core</t>
  </si>
  <si>
    <t xml:space="preserve">P0 Comm</t>
  </si>
  <si>
    <t xml:space="preserve">P1 Intel</t>
  </si>
  <si>
    <t xml:space="preserve">P1 Partner</t>
  </si>
  <si>
    <t xml:space="preserve">P2 Pro</t>
  </si>
  <si>
    <t xml:space="preserve">P2 Scale</t>
  </si>
  <si>
    <t xml:space="preserve">Done</t>
  </si>
  <si>
    <t xml:space="preserve">Partial</t>
  </si>
  <si>
    <t xml:space="preserve">Not built</t>
  </si>
  <si>
    <t xml:space="preserve">Not verified</t>
  </si>
  <si>
    <t xml:space="preserve">Needs decision</t>
  </si>
  <si>
    <t xml:space="preserve">Total</t>
  </si>
  <si>
    <t xml:space="preserve">Headline reading</t>
  </si>
  <si>
    <t xml:space="preserve">- P0 trust &amp; discovery: lifecycle, distinct counts, city parity are done, tested, deployed and live-verified.</t>
  </si>
  <si>
    <t xml:space="preserve">- Map is deployed but shows 0 pins in production because coordinates are missing. Clustering, 'search this area', detail-page map not built.</t>
  </si>
  <si>
    <t xml:space="preserve">- Search lacks sort, PIN and date filters. Cards lack share/compare/alert and freshness.</t>
  </si>
  <si>
    <t xml:space="preserve">- P0 commercial launch is largely not built: no entitlements, no checkout/webhook found, no alert delivery, no analytics, no audit log, no support tickets, no global security headers or rate limits.</t>
  </si>
  <si>
    <t xml:space="preserve">- Undated rounds currently count as ACTIVE; the spec says exclude them. Needs your confirmation before I change it.</t>
  </si>
  <si>
    <t xml:space="preserve">- CI and Vercel results for PRs #25/#26 were not read by me. Treat 'Tested' as local unit tests only.</t>
  </si>
  <si>
    <t xml:space="preserve">- 9 Oct live audit added 15 issues (4 P0). Biggest: city filter shows ~44% of catalogue (Nashik 8 vs 68), map 0 pins, /auctions pages capped at 48.</t>
  </si>
  <si>
    <t xml:space="preserve">Root-cause lead on missing cities: location is filled by an existing AI job (pipeline/geo.ts, enrichLocations, runs on the scheduler tick and after imports). ~5,200 rows still empty means the backlog is not draining or those rows were checked and returned no city. Phase 0 must establish which.</t>
  </si>
  <si>
    <t xml:space="preserve">Readiness by area (PM view)</t>
  </si>
  <si>
    <t xml:space="preserve">Area</t>
  </si>
  <si>
    <t xml:space="preserve">RAG</t>
  </si>
  <si>
    <t xml:space="preserve">Reason</t>
  </si>
  <si>
    <t xml:space="preserve">Core data correctness (lifecycle, counts)</t>
  </si>
  <si>
    <t xml:space="preserve">Amber</t>
  </si>
  <si>
    <t xml:space="preserve">Logic sound; location coverage ~44%; undated rule differs from spec</t>
  </si>
  <si>
    <t xml:space="preserve">Search and filters</t>
  </si>
  <si>
    <t xml:space="preserve">Works; no sort/PIN/date; city filter hides ~56%; /auctions capped</t>
  </si>
  <si>
    <t xml:space="preserve">Map discovery</t>
  </si>
  <si>
    <t xml:space="preserve">Red</t>
  </si>
  <si>
    <t xml:space="preserve">Deployed but 0 pins; no clustering</t>
  </si>
  <si>
    <t xml:space="preserve">Property detail</t>
  </si>
  <si>
    <t xml:space="preserve">Core fields good; no map/freshness/risk/share; similar-properties wrong</t>
  </si>
  <si>
    <t xml:space="preserve">Data sourcing and compliance</t>
  </si>
  <si>
    <t xml:space="preserve">Guardrails + tests exist; source register/permissions undocumented</t>
  </si>
  <si>
    <t xml:space="preserve">Accounts and premium access</t>
  </si>
  <si>
    <t xml:space="preserve">No entitlements; pricing differs from spec</t>
  </si>
  <si>
    <t xml:space="preserve">Payments and billing</t>
  </si>
  <si>
    <t xml:space="preserve">Not live (site says so)</t>
  </si>
  <si>
    <t xml:space="preserve">Alerts</t>
  </si>
  <si>
    <t xml:space="preserve">Not live</t>
  </si>
  <si>
    <t xml:space="preserve">Partners / teams</t>
  </si>
  <si>
    <t xml:space="preserve">SEO</t>
  </si>
  <si>
    <t xml:space="preserve">Sitemap/robots/canonicals OK; 930 thin city URLs</t>
  </si>
  <si>
    <t xml:space="preserve">Security and privacy</t>
  </si>
  <si>
    <t xml:space="preserve">Admin/API protected; no security headers/rate limits; borrower-data question</t>
  </si>
  <si>
    <t xml:space="preserve">Admin and reporting</t>
  </si>
  <si>
    <t xml:space="preserve">Pages exist; not audited live; no audit log/tickets</t>
  </si>
  <si>
    <t xml:space="preserve">Launch readiness 20 Oct (paid)</t>
  </si>
  <si>
    <t xml:space="preserve">Commercial P0 not built</t>
  </si>
  <si>
    <t xml:space="preserve">Phase</t>
  </si>
  <si>
    <t xml:space="preserve">Goal</t>
  </si>
  <si>
    <t xml:space="preserve">Main work (see Matrix, filter 'Work phase')</t>
  </si>
  <si>
    <t xml:space="preserve">Exit gate - must be true before next phase</t>
  </si>
  <si>
    <t xml:space="preserve">Acceptance tests covered</t>
  </si>
  <si>
    <t xml:space="preserve">Owner approvals needed first</t>
  </si>
  <si>
    <t xml:space="preserve">Depends on</t>
  </si>
  <si>
    <t xml:space="preserve">Team roles</t>
  </si>
  <si>
    <t xml:space="preserve">Rough effort (working days, ESTIMATE)</t>
  </si>
  <si>
    <t xml:space="preserve">Biggest risk</t>
  </si>
  <si>
    <t xml:space="preserve">Open rows</t>
  </si>
  <si>
    <t xml:space="preserve">Done rows</t>
  </si>
  <si>
    <t xml:space="preserve">Phase 0 - Decide &amp; baseline</t>
  </si>
  <si>
    <t xml:space="preserve">Remove ambiguity so the team stops guessing</t>
  </si>
  <si>
    <t xml:space="preserve">Decide: undated-round rule, canonical city names, state/city/locality rule, MMR list, plan prices+GST, free-tier masking, refund policy, borrower-data policy, map provider, media policy. Read-only baseline: how many published rows have geoCheckedAt empty vs checked-but-no-city; how many have coordinates, dates, category. Read admin Dashboard/Data Engine, CI and Vercel results for PRs #25/#26. Operator runs recon type-check on a machine with Prisma engines.</t>
  </si>
  <si>
    <t xml:space="preserve">Written decisions recorded in Owner decisions sheet; baseline numbers recorded; CI/Vercel results read; AI location provider status known</t>
  </si>
  <si>
    <t xml:space="preserve">None (unblocks all)</t>
  </si>
  <si>
    <t xml:space="preserve">All Phase 0 decisions (owner)</t>
  </si>
  <si>
    <t xml:space="preserve">None</t>
  </si>
  <si>
    <t xml:space="preserve">Owner + PM + 1 engineer (read-only)</t>
  </si>
  <si>
    <t xml:space="preserve">2-3</t>
  </si>
  <si>
    <t xml:space="preserve">Decisions slip; team builds on assumptions</t>
  </si>
  <si>
    <t xml:space="preserve">Phase 1 - Trust fixes (code only)</t>
  </si>
  <si>
    <t xml:space="preserve">Make everything visitors can see honest and consistent. No production data writes.</t>
  </si>
  <si>
    <t xml:space="preserve">Pagination + true totals on /auctions/*; Auction Today view; similar-properties by area; 'N more listings mention &lt;city&gt;, not yet location-verified' link on city pages/search; merge city variants (Vasai/Vasai Virar, Aurangabad/Chhatrapati Sambhajinagar); undated rounds separated from active headline; ?keyword= alias; sort options + stable tiebreak; filter chips/clear-all; security headers + rate limits; thin city pages noindex or minimum-count rule; uncategorised/empty property types; investigate 'Pune' prefix; full disclaimer block.</t>
  </si>
  <si>
    <t xml:space="preserve">Every public count equals its results total; no page silently truncates; /auctions/* paginate; security headers present; tests added for each fix; each fix its own PR with CI green and preview reviewed</t>
  </si>
  <si>
    <t xml:space="preserve">AT-01, AT-03, AT-04, AT-07 (partly AT-02, AT-05, AT-18)</t>
  </si>
  <si>
    <t xml:space="preserve">Undated rule + canonical city names (Phase 0)</t>
  </si>
  <si>
    <t xml:space="preserve">Phase 0</t>
  </si>
  <si>
    <t xml:space="preserve">1-2 full-stack engineers + QA</t>
  </si>
  <si>
    <t xml:space="preserve">5-8</t>
  </si>
  <si>
    <t xml:space="preserve">Changing counts surprises stakeholders; explain before deploy</t>
  </si>
  <si>
    <t xml:space="preserve">Phase 2 - Data foundation</t>
  </si>
  <si>
    <t xml:space="preserve">Fill the data the product depends on. Needs approval and rollback plan.</t>
  </si>
  <si>
    <t xml:space="preserve">Location: drain existing enrichLocations backlog (already scheduled; confirm why ~5,200 rows lack city), re-check rows that were checked but returned no city, review sample, report remaining unassigned. Coordinates: source reliable lat/long from source data or approved geocoder with precision flag; never guess. Category fill. Source register with terms/robots per source. Data-quality dashboard (missing city/coords/dates/prices, undated, end&lt;start, duplicates). Run-state model (partial/no-change/stale).</t>
  </si>
  <si>
    <t xml:space="preserve">Unassigned-city share below agreed threshold (suggest &lt;5%); coordinates present for agreed share with precision flag; before/after counts and rollback documented; dashboard live</t>
  </si>
  <si>
    <t xml:space="preserve">AT-05, AT-13, parts of AT-06</t>
  </si>
  <si>
    <t xml:space="preserve">Written approval for each production data run + rollback plan; map provider; source permissions</t>
  </si>
  <si>
    <t xml:space="preserve">Phase 0 baseline</t>
  </si>
  <si>
    <t xml:space="preserve">1 data engineer + 1 engineer + reviewer</t>
  </si>
  <si>
    <t xml:space="preserve">8-15 (depends on AI provider and data quality)</t>
  </si>
  <si>
    <t xml:space="preserve">Bad AI geocodes; mitigation: sample review before bulk write, reversible log</t>
  </si>
  <si>
    <t xml:space="preserve">Phase 3 - Discovery complete</t>
  </si>
  <si>
    <t xml:space="preserve">Finish P0 discovery to spec</t>
  </si>
  <si>
    <t xml:space="preserve">Map: clustering, search-this-area, loading/error states, split view, detail-page map; filters PIN/date/possession; cards: freshness, uncertainty label, save/share/compare/alert stubs; detail page: last-checked, source links, reserve history provenance, gallery rules, disclaimers; city pages: map/list, pagination; SEO audit; accessibility pass; coverage counters with as-of.</t>
  </si>
  <si>
    <t xml:space="preserve">Map shows real pins; map/list parity proven; detail page meets spec 4.7 core; accessibility + SEO checks pass</t>
  </si>
  <si>
    <t xml:space="preserve">AT-06, AT-07, AT-15 (part), AT-18, AT-20 (discovery half)</t>
  </si>
  <si>
    <t xml:space="preserve">Map provider/budget</t>
  </si>
  <si>
    <t xml:space="preserve">Phase 1, Phase 2 (coordinates)</t>
  </si>
  <si>
    <t xml:space="preserve">2 engineers + designer + QA</t>
  </si>
  <si>
    <t xml:space="preserve">12-18</t>
  </si>
  <si>
    <t xml:space="preserve">Map traffic on free OSM tiles; check policy before launch</t>
  </si>
  <si>
    <t xml:space="preserve">Phase 4 - Commercial launch</t>
  </si>
  <si>
    <t xml:space="preserve">Take money safely. Do not start without Phase 0 decisions.</t>
  </si>
  <si>
    <t xml:space="preserve">Plans/entitlements; sign-in recovery; consent records; checkout with server-side order, signed webhook, idempotency; GST invoices, refunds, credit notes; alert matching + delivery (email first) with dedupe/unsubscribe; analytics with consent; audit log; support tickets and correction path; backups/restore/RPO-RTO; incident process; premium field/document access enforced server-side and tested against direct URL and caching.</t>
  </si>
  <si>
    <t xml:space="preserve">Payment sandbox tests pass (single, duplicate, failed, refund, renewal); entitlement cannot be bypassed by URL or cache; alerts only to opted-in users; backup restore tested; owner signs release checklist</t>
  </si>
  <si>
    <t xml:space="preserve">AT-08, AT-09, AT-10, AT-11, AT-17, AT-19, AT-20</t>
  </si>
  <si>
    <t xml:space="preserve">Prices, GST wording, refund policy, free-tier masking, gateway account and test keys, alert providers, borrower-data policy, CA review</t>
  </si>
  <si>
    <t xml:space="preserve">Phases 0-3</t>
  </si>
  <si>
    <t xml:space="preserve">2-3 engineers + QA + CA/legal input</t>
  </si>
  <si>
    <t xml:space="preserve">25-40</t>
  </si>
  <si>
    <t xml:space="preserve">Legal/CA sign-off delays; payment edge cases</t>
  </si>
  <si>
    <t xml:space="preserve">Phase 5 - Intelligence</t>
  </si>
  <si>
    <t xml:space="preserve">Explain risk honestly and help buyers act</t>
  </si>
  <si>
    <t xml:space="preserve">Evidence-linked risk flags (descriptive, no score), reviewer workflow and corrections, compare, branded client report/share links, Auction of the Day, media rights model + gating.</t>
  </si>
  <si>
    <t xml:space="preserve">Every shown flag has evidence + review state; unknown never shown as clear; reports include timestamp, source links, missing-data markers</t>
  </si>
  <si>
    <t xml:space="preserve">AT-12, AT-15, AT-16</t>
  </si>
  <si>
    <t xml:space="preserve">Risk rubric, legal service boundary, media policy</t>
  </si>
  <si>
    <t xml:space="preserve">Phase 3</t>
  </si>
  <si>
    <t xml:space="preserve">1-2 engineers + reviewer</t>
  </si>
  <si>
    <t xml:space="preserve">15-25</t>
  </si>
  <si>
    <t xml:space="preserve">Legal wording of risk copy</t>
  </si>
  <si>
    <t xml:space="preserve">Phase 6 - Partner growth</t>
  </si>
  <si>
    <t xml:space="preserve">Grow through partners</t>
  </si>
  <si>
    <t xml:space="preserve">Partner onboarding, codes/links, 30-day attribution, commission engine with clawback, dashboard, statements.</t>
  </si>
  <si>
    <t xml:space="preserve">Attribution and payout totals reconcile on test data</t>
  </si>
  <si>
    <t xml:space="preserve">AT-14</t>
  </si>
  <si>
    <t xml:space="preserve">One approved commission schedule + tax rules; agreements</t>
  </si>
  <si>
    <t xml:space="preserve">Phase 4</t>
  </si>
  <si>
    <t xml:space="preserve">1-2 engineers</t>
  </si>
  <si>
    <t xml:space="preserve">Commission rules unsettled</t>
  </si>
  <si>
    <t xml:space="preserve">Phase 7 - Pro suite &amp; scale</t>
  </si>
  <si>
    <t xml:space="preserve">Professional suite and scale</t>
  </si>
  <si>
    <t xml:space="preserve">Team seats and pipeline, Private Desk workflows, language waves, new sources one by one with permission gates, load test.</t>
  </si>
  <si>
    <t xml:space="preserve">Each wave passes its own coverage/quality/permission gate</t>
  </si>
  <si>
    <t xml:space="preserve">AT-13, AT-17 (team parts)</t>
  </si>
  <si>
    <t xml:space="preserve">Team and Desk scope, languages, source permissions, load budget</t>
  </si>
  <si>
    <t xml:space="preserve">Phase 4-6</t>
  </si>
  <si>
    <t xml:space="preserve">Per wave</t>
  </si>
  <si>
    <t xml:space="preserve">Ongoing</t>
  </si>
  <si>
    <t xml:space="preserve">Scope creep</t>
  </si>
  <si>
    <t xml:space="preserve">Launch reality check (20 Oct 2026, 11 days away)</t>
  </si>
  <si>
    <t xml:space="preserve">- Phases 0 and 1 are realistic before 20 Oct if decisions arrive within 2 days. Phase 2 depends on the AI location provider and approvals.</t>
  </si>
  <si>
    <t xml:space="preserve">- Phases 3 and 4 are not realistic by 20 Oct. The spec says no paid subscriptions until payment, entitlement, refund and support paths pass.</t>
  </si>
  <si>
    <t xml:space="preserve">- Suggested option (owner decision): launch 20 Oct as a free discovery site with honest copy ('payments and alerts coming'), paid plans after the Phase 4 gate.</t>
  </si>
  <si>
    <t xml:space="preserve">- Effort numbers are rough planning estimates for the team to re-estimate, not commitments.</t>
  </si>
  <si>
    <t xml:space="preserve">- Rule for every phase: one focused PR per fix, CI green, preview reviewed, owner approval before merge/deploy, production smoke test after.</t>
  </si>
  <si>
    <t xml:space="preserve">ID</t>
  </si>
  <si>
    <t xml:space="preserve">Severity</t>
  </si>
  <si>
    <t xml:space="preserve">Finding</t>
  </si>
  <si>
    <t xml:space="preserve">Evidence</t>
  </si>
  <si>
    <t xml:space="preserve">Impact</t>
  </si>
  <si>
    <t xml:space="preserve">Recommended fix</t>
  </si>
  <si>
    <t xml:space="preserve">Needs your approval?</t>
  </si>
  <si>
    <t xml:space="preserve">Work phase</t>
  </si>
  <si>
    <t xml:space="preserve">I-01</t>
  </si>
  <si>
    <t xml:space="preserve">P0</t>
  </si>
  <si>
    <t xml:space="preserve">Search / Location</t>
  </si>
  <si>
    <t xml:space="preserve">City filter hides most listings: Nashik shows 8 but keyword search finds 68 (admin 64). City totals on /cities sum to ~4,068 of 9,304 published, so ~56% have no canonical city.</t>
  </si>
  <si>
    <t xml:space="preserve">Live: /properties?city=Nashik = 8 (5 active, 3 completed); ?q=nashik = 68; unmatched include Ozar, Sinnar, Eklahare, Deolali, Igatpuri, Malegaon and plain 'Nashik, 4220xx' addresses</t>
  </si>
  <si>
    <t xml:space="preserve">Visitors searching a city see a fraction of supply; homepage tiles understate. PR #25 followed your 'canonical city only' decision, which assumed few unassigned rows.</t>
  </si>
  <si>
    <t xml:space="preserve">1) Show 'N more listings mention &lt;city&gt;, not yet location-verified' link on city pages and search (code only, reversible). 2) Approve a geoCity backfill run with review (data change - needs your written approval). 3) Admin bucket report.</t>
  </si>
  <si>
    <t xml:space="preserve">Yes (backfill)</t>
  </si>
  <si>
    <t xml:space="preserve">Phase 1 (link) + Phase 2 (backfill)</t>
  </si>
  <si>
    <t xml:space="preserve">I-02</t>
  </si>
  <si>
    <t xml:space="preserve">Map</t>
  </si>
  <si>
    <t xml:space="preserve">Map shows 0 pins on production.</t>
  </si>
  <si>
    <t xml:space="preserve">Live: all-properties, Mumbai, Bangalore, Pune, Chennai map views = 0 pins</t>
  </si>
  <si>
    <t xml:space="preserve">Map feature is invisible to users. Property.latitude/longitude essentially empty.</t>
  </si>
  <si>
    <t xml:space="preserve">Approve a coordinate-sourcing task from reliable data; do not geocode vaguely. Add clustering + detail map after.</t>
  </si>
  <si>
    <t xml:space="preserve">Yes</t>
  </si>
  <si>
    <t xml:space="preserve">Phase 2 (coordinates) + Phase 3 (clustering)</t>
  </si>
  <si>
    <t xml:space="preserve">I-03</t>
  </si>
  <si>
    <t xml:space="preserve">Search</t>
  </si>
  <si>
    <t xml:space="preserve">/auctions, /auctions/upcoming, /live, /completed capped at 48 with no pager; page 2 repeats page 1; label reads '48 auction(s)'.</t>
  </si>
  <si>
    <t xml:space="preserve">Live fetch of /auctions/upcoming?page=2 returned same first listing</t>
  </si>
  <si>
    <t xml:space="preserve">Most auctions unreachable via these pages; count misleading. Breaks AT-07.</t>
  </si>
  <si>
    <t xml:space="preserve">Add pagination + true total, or redirect these pages to /properties with status filter.</t>
  </si>
  <si>
    <t xml:space="preserve">No</t>
  </si>
  <si>
    <t xml:space="preserve">I-04</t>
  </si>
  <si>
    <t xml:space="preserve">P1</t>
  </si>
  <si>
    <t xml:space="preserve">Lifecycle</t>
  </si>
  <si>
    <t xml:space="preserve">'Active' = 6,988 of 9,304 (75%). Undated open rounds count as active; spec says exclude.</t>
  </si>
  <si>
    <t xml:space="preserve">Code: auctionLifecycle helper; live totals</t>
  </si>
  <si>
    <t xml:space="preserve">Headline opportunity numbers may be inflated.</t>
  </si>
  <si>
    <t xml:space="preserve">Count undated separately, exclude from headline.</t>
  </si>
  <si>
    <t xml:space="preserve">Confirm rule</t>
  </si>
  <si>
    <t xml:space="preserve">Phase 1 - Trust fixes (code only) (after Phase 0 rule)</t>
  </si>
  <si>
    <t xml:space="preserve">I-05</t>
  </si>
  <si>
    <t xml:space="preserve">Detail page</t>
  </si>
  <si>
    <t xml:space="preserve">'Similar Properties' ignores location: a Nashik flat lists Bengaluru, Morbi, Surat.</t>
  </si>
  <si>
    <t xml:space="preserve">Live detail page text</t>
  </si>
  <si>
    <t xml:space="preserve">Looks broken, hurts trust.</t>
  </si>
  <si>
    <t xml:space="preserve">Filter by city/state and type.</t>
  </si>
  <si>
    <t xml:space="preserve">I-06</t>
  </si>
  <si>
    <t xml:space="preserve">Location data</t>
  </si>
  <si>
    <t xml:space="preserve">Duplicate/variant canonical cities (Vasai / Vasai Virar, Aurangabad / Chhatrapati Sambhajinagar); 972 city pages, 930 city URLs in sitemap.</t>
  </si>
  <si>
    <t xml:space="preserve">Live /cities, sitemap.xml</t>
  </si>
  <si>
    <t xml:space="preserve">Split counts, thin indexable pages.</t>
  </si>
  <si>
    <t xml:space="preserve">Merge variants; only index cities above a minimum count.</t>
  </si>
  <si>
    <t xml:space="preserve">Confirm names</t>
  </si>
  <si>
    <t xml:space="preserve">I-07</t>
  </si>
  <si>
    <t xml:space="preserve">Commercial</t>
  </si>
  <si>
    <t xml:space="preserve">Pricing differs from spec (Rs 2,500/4,000/7,000 vs 1,499/2,699/4,999); Founding, Single, Team, Private Desk plans absent; payments and alerts 'not live'.</t>
  </si>
  <si>
    <t xml:space="preserve">Live /pricing</t>
  </si>
  <si>
    <t xml:space="preserve">Cannot take subscriptions on 20 Oct as specified.</t>
  </si>
  <si>
    <t xml:space="preserve">Owner approves prices, then build checkout/webhook/entitlements.</t>
  </si>
  <si>
    <t xml:space="preserve">Phase 0 - Decide &amp; baseline then Phase 4 - Commercial launch</t>
  </si>
  <si>
    <t xml:space="preserve">I-08</t>
  </si>
  <si>
    <t xml:space="preserve">Privacy</t>
  </si>
  <si>
    <t xml:space="preserve">Premium is sold on 'full borrower name &amp; contact details'.</t>
  </si>
  <si>
    <t xml:space="preserve">Live /pricing and detail page</t>
  </si>
  <si>
    <t xml:space="preserve">Conflicts with spec section 13 data minimisation; legal exposure.</t>
  </si>
  <si>
    <t xml:space="preserve">Decide borrower-data policy before launch.</t>
  </si>
  <si>
    <t xml:space="preserve">Phase 0 - Decide &amp; baseline then Phase 1 - Trust fixes (code only)</t>
  </si>
  <si>
    <t xml:space="preserve">I-09</t>
  </si>
  <si>
    <t xml:space="preserve">Security</t>
  </si>
  <si>
    <t xml:space="preserve">Only HSTS header present. No CSP, X-Frame-Options, nosniff, Referrer-Policy. No rate limiting on public forms/login found.</t>
  </si>
  <si>
    <t xml:space="preserve">Live headers</t>
  </si>
  <si>
    <t xml:space="preserve">Standard hardening gap.</t>
  </si>
  <si>
    <t xml:space="preserve">Add headers in next.config + rate limits.</t>
  </si>
  <si>
    <t xml:space="preserve">I-10</t>
  </si>
  <si>
    <t xml:space="preserve">No map, no last-checked/source freshness, no risk flags, no save/share/compare/alert, thin disclaimer.</t>
  </si>
  <si>
    <t xml:space="preserve">Live detail page</t>
  </si>
  <si>
    <t xml:space="preserve">Misses most of spec 4.7.</t>
  </si>
  <si>
    <t xml:space="preserve">Build in order: freshness, map, share/save, disclaimer, then risk.</t>
  </si>
  <si>
    <t xml:space="preserve">I-11</t>
  </si>
  <si>
    <t xml:space="preserve">No analytics, no audit log, no support tickets, no consent records.</t>
  </si>
  <si>
    <t xml:space="preserve">Code scan</t>
  </si>
  <si>
    <t xml:space="preserve">Cannot measure funnel or run support.</t>
  </si>
  <si>
    <t xml:space="preserve">Build before paid launch.</t>
  </si>
  <si>
    <t xml:space="preserve">Yes (tool choice)</t>
  </si>
  <si>
    <t xml:space="preserve">I-12</t>
  </si>
  <si>
    <t xml:space="preserve">P2</t>
  </si>
  <si>
    <t xml:space="preserve">Catalogue</t>
  </si>
  <si>
    <t xml:space="preserve">Property-type counts sum to 8,919 vs 9,304 published (385 uncategorised); 'Vehicles' shows 0.</t>
  </si>
  <si>
    <t xml:space="preserve">Live /property-types</t>
  </si>
  <si>
    <t xml:space="preserve">Category browse incomplete.</t>
  </si>
  <si>
    <t xml:space="preserve">Report uncategorised; hide empty category.</t>
  </si>
  <si>
    <t xml:space="preserve">I-13</t>
  </si>
  <si>
    <t xml:space="preserve">Param mismatch: ?keyword= is ignored (returns all 9,304); keyword param is ?q=.</t>
  </si>
  <si>
    <t xml:space="preserve">Live</t>
  </si>
  <si>
    <t xml:space="preserve">Share links or partner links using keyword= silently return everything.</t>
  </si>
  <si>
    <t xml:space="preserve">Accept both or reject unknown params visibly.</t>
  </si>
  <si>
    <t xml:space="preserve">I-14</t>
  </si>
  <si>
    <t xml:space="preserve">Location label shows 'Pune' in front of the lender for a Nashik property (Flat Jail Road).</t>
  </si>
  <si>
    <t xml:space="preserve">Live detail header</t>
  </si>
  <si>
    <t xml:space="preserve">Possible wrong location label; cause not investigated.</t>
  </si>
  <si>
    <t xml:space="preserve">Investigate source of that label.</t>
  </si>
  <si>
    <t xml:space="preserve">I-15</t>
  </si>
  <si>
    <t xml:space="preserve">Verification gap</t>
  </si>
  <si>
    <t xml:space="preserve">Admin not audited (not logged in in my browser). CI/Vercel results for PRs #25/#26 unread. Sandbox cannot run build or 4 test files.</t>
  </si>
  <si>
    <t xml:space="preserve">Process</t>
  </si>
  <si>
    <t xml:space="preserve">Admin 64 vs public 68 differs by definition (admin includes drafts/removed) but is unverified.</t>
  </si>
  <si>
    <t xml:space="preserve">Give me a read-only admin login or screenshots of Dashboard/Data Engine; read CI.</t>
  </si>
  <si>
    <t xml:space="preserve">Page / check</t>
  </si>
  <si>
    <t xml:space="preserve">What was checked</t>
  </si>
  <si>
    <t xml:space="preserve">Expected</t>
  </si>
  <si>
    <t xml:space="preserve">Observed result</t>
  </si>
  <si>
    <t xml:space="preserve">Home /</t>
  </si>
  <si>
    <t xml:space="preserve">Loads, city tiles with active counts</t>
  </si>
  <si>
    <t xml:space="preserve">8 tiles with counts</t>
  </si>
  <si>
    <t xml:space="preserve">PASS</t>
  </si>
  <si>
    <t xml:space="preserve">Home tile vs results</t>
  </si>
  <si>
    <t xml:space="preserve">Tile count == /properties?city&amp;status=active</t>
  </si>
  <si>
    <t xml:space="preserve">Equal</t>
  </si>
  <si>
    <t xml:space="preserve">PASS (8/8, earlier check)</t>
  </si>
  <si>
    <t xml:space="preserve">/properties</t>
  </si>
  <si>
    <t xml:space="preserve">Total listings</t>
  </si>
  <si>
    <t xml:space="preserve">Total shown</t>
  </si>
  <si>
    <t xml:space="preserve">PASS - 9,304</t>
  </si>
  <si>
    <t xml:space="preserve">/properties?status=active</t>
  </si>
  <si>
    <t xml:space="preserve">Active total</t>
  </si>
  <si>
    <t xml:space="preserve">Shown</t>
  </si>
  <si>
    <t xml:space="preserve">6,988 (suspect, I-04)</t>
  </si>
  <si>
    <t xml:space="preserve">/properties?status=completed</t>
  </si>
  <si>
    <t xml:space="preserve">Completed total</t>
  </si>
  <si>
    <t xml:space="preserve">2,356; active+completed = 9,344 &gt; 9,304 (40 properties in both - allowed)</t>
  </si>
  <si>
    <t xml:space="preserve">/properties?city=Nashik</t>
  </si>
  <si>
    <t xml:space="preserve">City filter vs real supply</t>
  </si>
  <si>
    <t xml:space="preserve">~68</t>
  </si>
  <si>
    <t xml:space="preserve">FAIL - 8 (I-01)</t>
  </si>
  <si>
    <t xml:space="preserve">/properties?q=nashik</t>
  </si>
  <si>
    <t xml:space="preserve">Keyword search</t>
  </si>
  <si>
    <t xml:space="preserve">Matches</t>
  </si>
  <si>
    <t xml:space="preserve">68 (works)</t>
  </si>
  <si>
    <t xml:space="preserve">/properties?keyword=nashik</t>
  </si>
  <si>
    <t xml:space="preserve">Alias param</t>
  </si>
  <si>
    <t xml:space="preserve">Filtered</t>
  </si>
  <si>
    <t xml:space="preserve">FAIL - returns 9,304 (I-13)</t>
  </si>
  <si>
    <t xml:space="preserve">/properties?state=Maharashtra</t>
  </si>
  <si>
    <t xml:space="preserve">State filter</t>
  </si>
  <si>
    <t xml:space="preserve">1,713 (text fallback in use)</t>
  </si>
  <si>
    <t xml:space="preserve">/properties?view=map</t>
  </si>
  <si>
    <t xml:space="preserve">Pins</t>
  </si>
  <si>
    <t xml:space="preserve">Pins for geocoded rows</t>
  </si>
  <si>
    <t xml:space="preserve">FAIL - 0 pins (I-02)</t>
  </si>
  <si>
    <t xml:space="preserve">/cities</t>
  </si>
  <si>
    <t xml:space="preserve">City list</t>
  </si>
  <si>
    <t xml:space="preserve">Clean list</t>
  </si>
  <si>
    <t xml:space="preserve">972 cities, variants (I-06)</t>
  </si>
  <si>
    <t xml:space="preserve">/city/nashik</t>
  </si>
  <si>
    <t xml:space="preserve">City page</t>
  </si>
  <si>
    <t xml:space="preserve">Count + list</t>
  </si>
  <si>
    <t xml:space="preserve">Loads; shows only canonical matches</t>
  </si>
  <si>
    <t xml:space="preserve">/auctions/*</t>
  </si>
  <si>
    <t xml:space="preserve">Pagination, true total</t>
  </si>
  <si>
    <t xml:space="preserve">Pager</t>
  </si>
  <si>
    <t xml:space="preserve">FAIL (I-03)</t>
  </si>
  <si>
    <t xml:space="preserve">/auctions/today</t>
  </si>
  <si>
    <t xml:space="preserve">Today view</t>
  </si>
  <si>
    <t xml:space="preserve">Exists</t>
  </si>
  <si>
    <t xml:space="preserve">FAIL - 404 (I-04b)</t>
  </si>
  <si>
    <t xml:space="preserve">/property/&lt;slug&gt;</t>
  </si>
  <si>
    <t xml:space="preserve">EMD, increment, dates, doc links</t>
  </si>
  <si>
    <t xml:space="preserve">Present</t>
  </si>
  <si>
    <t xml:space="preserve">PASS (fields present)</t>
  </si>
  <si>
    <t xml:space="preserve">Map, last-checked, risk, share</t>
  </si>
  <si>
    <t xml:space="preserve">Per spec</t>
  </si>
  <si>
    <t xml:space="preserve">FAIL</t>
  </si>
  <si>
    <t xml:space="preserve">Similar properties</t>
  </si>
  <si>
    <t xml:space="preserve">Same area</t>
  </si>
  <si>
    <t xml:space="preserve">FAIL (I-05)</t>
  </si>
  <si>
    <t xml:space="preserve">/pricing</t>
  </si>
  <si>
    <t xml:space="preserve">Plans/prices</t>
  </si>
  <si>
    <t xml:space="preserve">Spec prices</t>
  </si>
  <si>
    <t xml:space="preserve">FAIL - different prices; copy honest about 'not live'</t>
  </si>
  <si>
    <t xml:space="preserve">/login /register</t>
  </si>
  <si>
    <t xml:space="preserve">Pages load</t>
  </si>
  <si>
    <t xml:space="preserve">200</t>
  </si>
  <si>
    <t xml:space="preserve">PASS (flows not tested - no account creation allowed)</t>
  </si>
  <si>
    <t xml:space="preserve">/my-alerts /saved-properties</t>
  </si>
  <si>
    <t xml:space="preserve">PASS (load only)</t>
  </si>
  <si>
    <t xml:space="preserve">/contact</t>
  </si>
  <si>
    <t xml:space="preserve">Form present</t>
  </si>
  <si>
    <t xml:space="preserve">Fields</t>
  </si>
  <si>
    <t xml:space="preserve">PASS (not submitted)</t>
  </si>
  <si>
    <t xml:space="preserve">/robots.txt</t>
  </si>
  <si>
    <t xml:space="preserve">Blocks admin/api/login</t>
  </si>
  <si>
    <t xml:space="preserve">/sitemap.xml</t>
  </si>
  <si>
    <t xml:space="preserve">Valid, sensible</t>
  </si>
  <si>
    <t xml:space="preserve">PASS - 10,268 URLs; thin city URLs (I-06)</t>
  </si>
  <si>
    <t xml:space="preserve">/api/v1/properties, /banks</t>
  </si>
  <si>
    <t xml:space="preserve">Auth required</t>
  </si>
  <si>
    <t xml:space="preserve">401</t>
  </si>
  <si>
    <t xml:space="preserve">/api/me</t>
  </si>
  <si>
    <t xml:space="preserve">No leak when logged out</t>
  </si>
  <si>
    <t xml:space="preserve">{user:null}</t>
  </si>
  <si>
    <t xml:space="preserve">/api/cron/health</t>
  </si>
  <si>
    <t xml:space="preserve">Protected</t>
  </si>
  <si>
    <t xml:space="preserve">/admin</t>
  </si>
  <si>
    <t xml:space="preserve">Redirects when logged out</t>
  </si>
  <si>
    <t xml:space="preserve">Redirect</t>
  </si>
  <si>
    <t xml:space="preserve">PASS (admin itself not audited)</t>
  </si>
  <si>
    <t xml:space="preserve">Headers</t>
  </si>
  <si>
    <t xml:space="preserve">Security headers</t>
  </si>
  <si>
    <t xml:space="preserve">CSP, XFO, nosniff</t>
  </si>
  <si>
    <t xml:space="preserve">FAIL - only HSTS (I-09)</t>
  </si>
  <si>
    <t xml:space="preserve">/property-types</t>
  </si>
  <si>
    <t xml:space="preserve">Counts reconcile</t>
  </si>
  <si>
    <t xml:space="preserve">Sum = total</t>
  </si>
  <si>
    <t xml:space="preserve">FAIL - 8,919 vs 9,304 (I-12)</t>
  </si>
  <si>
    <t xml:space="preserve">/banks</t>
  </si>
  <si>
    <t xml:space="preserve">Per-bank counts</t>
  </si>
  <si>
    <t xml:space="preserve">Loads; counts not reconciled</t>
  </si>
  <si>
    <t xml:space="preserve">Payments / alerts delivery</t>
  </si>
  <si>
    <t xml:space="preserve">Working</t>
  </si>
  <si>
    <t xml:space="preserve">NOT LIVE (stated on site)</t>
  </si>
  <si>
    <t xml:space="preserve">Req ID</t>
  </si>
  <si>
    <t xml:space="preserve">Spec §</t>
  </si>
  <si>
    <t xml:space="preserve">Requirement</t>
  </si>
  <si>
    <t xml:space="preserve">Evidence in code / live</t>
  </si>
  <si>
    <t xml:space="preserve">Gap / new work</t>
  </si>
  <si>
    <t xml:space="preserve">Tests</t>
  </si>
  <si>
    <t xml:space="preserve">Implemented</t>
  </si>
  <si>
    <t xml:space="preserve">Tested</t>
  </si>
  <si>
    <t xml:space="preserve">Merged</t>
  </si>
  <si>
    <t xml:space="preserve">Deployed</t>
  </si>
  <si>
    <t xml:space="preserve">Prod smoke-tested</t>
  </si>
  <si>
    <t xml:space="preserve">Owner decision</t>
  </si>
  <si>
    <t xml:space="preserve">LC-01</t>
  </si>
  <si>
    <t xml:space="preserve">3.2</t>
  </si>
  <si>
    <t xml:space="preserve">One central lifecycle rule for cards, detail, counts, filters, alerts, reports</t>
  </si>
  <si>
    <t xml:space="preserve">src/lib/domain/auctionLifecycle.ts (effectiveAuctionStatus, auctionStatusWhere, activeAuctionWhere); homepage, city, search use it</t>
  </si>
  <si>
    <t xml:space="preserve">Alerts/reports do not exist yet, so cannot confirm they will reuse it</t>
  </si>
  <si>
    <t xml:space="preserve">tests/auctionLifecycle.test.ts, resolveAuctionStatus.test.ts</t>
  </si>
  <si>
    <t xml:space="preserve">Yes (unit, local)</t>
  </si>
  <si>
    <t xml:space="preserve">Partial (city tiles + counts checked live)</t>
  </si>
  <si>
    <t xml:space="preserve">Done - keep regression tests</t>
  </si>
  <si>
    <t xml:space="preserve">LC-02</t>
  </si>
  <si>
    <t xml:space="preserve">States: Upcoming, Live, Auction Today, Completed, Cancelled, Postponed</t>
  </si>
  <si>
    <t xml:space="preserve">Helpers derive these at read time; IST day boundaries</t>
  </si>
  <si>
    <t xml:space="preserve">None known</t>
  </si>
  <si>
    <t xml:space="preserve">auctionLifecycle.test.ts (boundary cases)</t>
  </si>
  <si>
    <t xml:space="preserve">Approve 'Auction Today' rule wording</t>
  </si>
  <si>
    <t xml:space="preserve">LC-03</t>
  </si>
  <si>
    <t xml:space="preserve">Undated/Needs Review state; undated rounds excluded from trusted active headline and reported separately</t>
  </si>
  <si>
    <t xml:space="preserve">Helper treats undated open rounds as never over, so they count as ACTIVE today</t>
  </si>
  <si>
    <t xml:space="preserve">Add Undated state, exclude from active headline, add count in admin data-quality view</t>
  </si>
  <si>
    <t xml:space="preserve">Confirm: spec wins over current behaviour</t>
  </si>
  <si>
    <t xml:space="preserve">LC-04</t>
  </si>
  <si>
    <t xml:space="preserve">Flag end-before-start and partial-date records for review; never auto-repair</t>
  </si>
  <si>
    <t xml:space="preserve">src/lib/pipeline/completeness.ts exists; not checked against this rule</t>
  </si>
  <si>
    <t xml:space="preserve">Check rule coverage + surface in admin</t>
  </si>
  <si>
    <t xml:space="preserve">tests/completeness.test.ts (scope not checked)</t>
  </si>
  <si>
    <t xml:space="preserve">LC-05</t>
  </si>
  <si>
    <t xml:space="preserve">Never overwrite source facts to fix status; status derived at read time</t>
  </si>
  <si>
    <t xml:space="preserve">Derived in code; raw values kept (fieldProvenance.ts, PropertyChange)</t>
  </si>
  <si>
    <t xml:space="preserve">provenance.test.ts</t>
  </si>
  <si>
    <t xml:space="preserve">CT-01</t>
  </si>
  <si>
    <t xml:space="preserve">3.3</t>
  </si>
  <si>
    <t xml:space="preserve">Count distinct properties, not round rows (AT-03)</t>
  </si>
  <si>
    <t xml:space="preserve">cityCounts.ts + cities.ts groupBy on property rows; property-level where in publishedWhere</t>
  </si>
  <si>
    <t xml:space="preserve">Other counters (admin, stats) not audited</t>
  </si>
  <si>
    <t xml:space="preserve">tests/cityCounts.test.ts (13)</t>
  </si>
  <si>
    <t xml:space="preserve">Yes (live tiles = results)</t>
  </si>
  <si>
    <t xml:space="preserve">CT-02</t>
  </si>
  <si>
    <t xml:space="preserve">Catalogue total includes round-less published properties; active excludes them (AT-04)</t>
  </si>
  <si>
    <t xml:space="preserve">cities.ts 'total' vs active count; activeAuctionWhere requires a round</t>
  </si>
  <si>
    <t xml:space="preserve">cityCounts.test.ts</t>
  </si>
  <si>
    <t xml:space="preserve">CT-03</t>
  </si>
  <si>
    <t xml:space="preserve">Cancelled/Postponed excluded from active and reported separately</t>
  </si>
  <si>
    <t xml:space="preserve">Excluded from active via lifecycle helper</t>
  </si>
  <si>
    <t xml:space="preserve">No separate report/count anywhere</t>
  </si>
  <si>
    <t xml:space="preserve">auctionLifecycle.test.ts (exclusion only)</t>
  </si>
  <si>
    <t xml:space="preserve">CT-04</t>
  </si>
  <si>
    <t xml:space="preserve">Homepage city counts use canonical city only; missing city is a separate bucket (AT-05)</t>
  </si>
  <si>
    <t xml:space="preserve">Live: city totals on /cities sum to ~4,068 of 9,304 published, so ~5,236 (56%) have no usable canonical city. Nashik: 8 by city, 68 by keyword</t>
  </si>
  <si>
    <t xml:space="preserve">Bucket is invisible to visitors and admin. Needs report + location backfill</t>
  </si>
  <si>
    <t xml:space="preserve">FAIL (visitor-visible gap, see I-01)</t>
  </si>
  <si>
    <t xml:space="preserve">Approve geoCity backfill</t>
  </si>
  <si>
    <t xml:space="preserve">CT-05</t>
  </si>
  <si>
    <t xml:space="preserve">City card count == results total (AT-01)</t>
  </si>
  <si>
    <t xml:space="preserve">Both use publishedWhere. Parity holds, but both exclude listings without canonical city, so the parity is on an incomplete set</t>
  </si>
  <si>
    <t xml:space="preserve">cityCounts.test.ts + live check of all 8 tiles</t>
  </si>
  <si>
    <t xml:space="preserve">Yes (unit + live)</t>
  </si>
  <si>
    <t xml:space="preserve">Yes (parity) / FAIL (coverage)</t>
  </si>
  <si>
    <t xml:space="preserve">DM-01</t>
  </si>
  <si>
    <t xml:space="preserve">3.1</t>
  </si>
  <si>
    <t xml:space="preserve">Property: coords AND coordinate precision</t>
  </si>
  <si>
    <t xml:space="preserve">Property.latitude/longitude, geoCity/State/Locality, geoCheckedAt</t>
  </si>
  <si>
    <t xml:space="preserve">No precision field; production coordinates are effectively empty (live map = 0 pins)</t>
  </si>
  <si>
    <t xml:space="preserve">propertyMap.test.ts (validation only)</t>
  </si>
  <si>
    <t xml:space="preserve">Yes - confirmed gap</t>
  </si>
  <si>
    <t xml:space="preserve">Approve data task to source coordinates</t>
  </si>
  <si>
    <t xml:space="preserve">DM-02</t>
  </si>
  <si>
    <t xml:space="preserve">Auction round fields (EMD, increment, inspection, possession, notice, type, dates)</t>
  </si>
  <si>
    <t xml:space="preserve">Auction model: emd, minimumIncrement, inspection*, possessionStatus, noticeNumber, auctionType, externalAuctionId</t>
  </si>
  <si>
    <t xml:space="preserve">Timezone stored implicitly (IST in logic); possession is free text not typed</t>
  </si>
  <si>
    <t xml:space="preserve">None specific</t>
  </si>
  <si>
    <t xml:space="preserve">DM-03</t>
  </si>
  <si>
    <t xml:space="preserve">Institution/source register with terms review, robots state, coverage, last checked</t>
  </si>
  <si>
    <t xml:space="preserve">Bank, Source, FeedSource, SourceRunLog; admin sources/feeds pages; robotsGate</t>
  </si>
  <si>
    <t xml:space="preserve">No explicit terms-review / permission record per source</t>
  </si>
  <si>
    <t xml:space="preserve">sourceCompliance.test.ts, robotsRules.test.ts</t>
  </si>
  <si>
    <t xml:space="preserve">Approve source register</t>
  </si>
  <si>
    <t xml:space="preserve">DM-04</t>
  </si>
  <si>
    <t xml:space="preserve">Evidence/provenance per field with reviewer + correction history</t>
  </si>
  <si>
    <t xml:space="preserve">fieldProvenance.ts, fieldObservations.ts, PropertyChange, mergeLog</t>
  </si>
  <si>
    <t xml:space="preserve">No reviewer identity/correction workflow; not shown to users</t>
  </si>
  <si>
    <t xml:space="preserve">DM-05</t>
  </si>
  <si>
    <t xml:space="preserve">Media/document with permission status, review state</t>
  </si>
  <si>
    <t xml:space="preserve">Media, Document, MediaAsset, SourceMedia models</t>
  </si>
  <si>
    <t xml:space="preserve">Permission/rights fields not confirmed</t>
  </si>
  <si>
    <t xml:space="preserve">Media policy decision</t>
  </si>
  <si>
    <t xml:space="preserve">DM-06</t>
  </si>
  <si>
    <t xml:space="preserve">User/subscription: plan, entitlement dates, provider IDs, invoices, audit</t>
  </si>
  <si>
    <t xml:space="preserve">User and Payment only</t>
  </si>
  <si>
    <t xml:space="preserve">No Subscription/Entitlement/Invoice models</t>
  </si>
  <si>
    <t xml:space="preserve">Prices + plans</t>
  </si>
  <si>
    <t xml:space="preserve">DM-07</t>
  </si>
  <si>
    <t xml:space="preserve">Saved search/alert with channels, frequency, consent, pause, delivery result</t>
  </si>
  <si>
    <t xml:space="preserve">SavedSearch, Alert (type, filters, active)</t>
  </si>
  <si>
    <t xml:space="preserve">No channel, frequency, consent, pause or delivery log</t>
  </si>
  <si>
    <t xml:space="preserve">DM-08</t>
  </si>
  <si>
    <t xml:space="preserve">Partner/referral entities</t>
  </si>
  <si>
    <t xml:space="preserve">Absent</t>
  </si>
  <si>
    <t xml:space="preserve">Full schema</t>
  </si>
  <si>
    <t xml:space="preserve">Commission rulebook</t>
  </si>
  <si>
    <t xml:space="preserve">DM-09</t>
  </si>
  <si>
    <t xml:space="preserve">Team/deal entities</t>
  </si>
  <si>
    <t xml:space="preserve">Team/Private Desk scope</t>
  </si>
  <si>
    <t xml:space="preserve">NAV-01</t>
  </si>
  <si>
    <t xml:space="preserve">4.1</t>
  </si>
  <si>
    <t xml:space="preserve">Main nav incl. Search, Map View, Cities, Banks, Calendar, How it works, Pricing, Partners, Guides, Help, Sign in</t>
  </si>
  <si>
    <t xml:space="preserve">Pages: properties, cities, banks, how-it-works, pricing, blog, contact, login, register</t>
  </si>
  <si>
    <t xml:space="preserve">No auction calendar, no partner page; Map is a toggle, not a nav entry</t>
  </si>
  <si>
    <t xml:space="preserve">HP-01</t>
  </si>
  <si>
    <t xml:space="preserve">4.2</t>
  </si>
  <si>
    <t xml:space="preserve">Hero + search by keyword/location/PIN with filters</t>
  </si>
  <si>
    <t xml:space="preserve">Home page search exists</t>
  </si>
  <si>
    <t xml:space="preserve">PIN-code search not present; filter set not checked</t>
  </si>
  <si>
    <t xml:space="preserve">HP-02</t>
  </si>
  <si>
    <t xml:space="preserve">Coverage counters with 'as of' timestamp from defined metrics</t>
  </si>
  <si>
    <t xml:space="preserve">Stat block hidden. Live home shows city tiles with active counts only</t>
  </si>
  <si>
    <t xml:space="preserve">Define metrics, show as-of, re-enable</t>
  </si>
  <si>
    <t xml:space="preserve">Confirmed missing</t>
  </si>
  <si>
    <t xml:space="preserve">HP-03</t>
  </si>
  <si>
    <t xml:space="preserve">Active city tiles = qualifying properties; link to same-count page</t>
  </si>
  <si>
    <t xml:space="preserve">page.tsx tiles -&gt; /properties?city=X&amp;status=active</t>
  </si>
  <si>
    <t xml:space="preserve">HP-04</t>
  </si>
  <si>
    <t xml:space="preserve">Auction of the Day, recent additions, map discovery, guides, video, pricing sections</t>
  </si>
  <si>
    <t xml:space="preserve">Recent/blog/pricing exist</t>
  </si>
  <si>
    <t xml:space="preserve">Auction of the Day not found; map section not on home</t>
  </si>
  <si>
    <t xml:space="preserve">HP-05</t>
  </si>
  <si>
    <t xml:space="preserve">No 'verified title' / 'guaranteed' claims</t>
  </si>
  <si>
    <t xml:space="preserve">Claims guard test</t>
  </si>
  <si>
    <t xml:space="preserve">tests/publicClaims.test.ts</t>
  </si>
  <si>
    <t xml:space="preserve">Yes (unit)</t>
  </si>
  <si>
    <t xml:space="preserve">SR-01</t>
  </si>
  <si>
    <t xml:space="preserve">4.3</t>
  </si>
  <si>
    <t xml:space="preserve">Filters: keyword, city, state, locality, bank, type, price, status</t>
  </si>
  <si>
    <t xml:space="preserve">publishedWhere.ts + PropertyFilterForm</t>
  </si>
  <si>
    <t xml:space="preserve">cityCounts.test.ts, propertyMap.test.ts (filter parity)</t>
  </si>
  <si>
    <t xml:space="preserve">SR-02</t>
  </si>
  <si>
    <t xml:space="preserve">Filters: PIN code, auction date range, possession type</t>
  </si>
  <si>
    <t xml:space="preserve">Add filters + schema/index check</t>
  </si>
  <si>
    <t xml:space="preserve">SR-03</t>
  </si>
  <si>
    <t xml:space="preserve">Sort: newest, deadline, price low/high, relevance; deterministic</t>
  </si>
  <si>
    <t xml:space="preserve">Fixed createdAt desc only; no tiebreaker</t>
  </si>
  <si>
    <t xml:space="preserve">Add sort + id tiebreak + URL param</t>
  </si>
  <si>
    <t xml:space="preserve">SR-04</t>
  </si>
  <si>
    <t xml:space="preserve">Shareable URLs; clear-all and active-filter chips</t>
  </si>
  <si>
    <t xml:space="preserve">Filters in URL. Param names: city, state, locality, q (keyword). Note keyword param ?keyword= is ignored (returns all 9,304)</t>
  </si>
  <si>
    <t xml:space="preserve">Chips and clear-all not confirmed</t>
  </si>
  <si>
    <t xml:space="preserve">SR-05</t>
  </si>
  <si>
    <t xml:space="preserve">Count, applied filters, pagination, empty state, reset suggestions</t>
  </si>
  <si>
    <t xml:space="preserve">Count + pagination exist</t>
  </si>
  <si>
    <t xml:space="preserve">Reset suggestions not confirmed</t>
  </si>
  <si>
    <t xml:space="preserve">propertyMap.test.ts (page params)</t>
  </si>
  <si>
    <t xml:space="preserve">SR-06</t>
  </si>
  <si>
    <t xml:space="preserve">No silent broadening of location/text matching</t>
  </si>
  <si>
    <t xml:space="preserve">City: canonical only. Live proof: Nashik city filter 8 vs keyword 68. State/locality still use text fallback, so the three filters disagree</t>
  </si>
  <si>
    <t xml:space="preserve">Make state, city and locality rules consistent; surface unverified matches instead of hiding them</t>
  </si>
  <si>
    <t xml:space="preserve">FAIL (I-01)</t>
  </si>
  <si>
    <t xml:space="preserve">Decide on state/locality fallback</t>
  </si>
  <si>
    <t xml:space="preserve">CD-01</t>
  </si>
  <si>
    <t xml:space="preserve">4.4</t>
  </si>
  <si>
    <t xml:space="preserve">Card fields: title, location (+uncertainty label), price, date, institution, status, freshness, thumbnail, risk</t>
  </si>
  <si>
    <t xml:space="preserve">PropertyCard shows most via toPropertyCardData</t>
  </si>
  <si>
    <t xml:space="preserve">No freshness, no uncertainty label, no risk indicator</t>
  </si>
  <si>
    <t xml:space="preserve">CD-02</t>
  </si>
  <si>
    <t xml:space="preserve">Card actions: save, share, compare, alert (gated)</t>
  </si>
  <si>
    <t xml:space="preserve">Save exists (SavedProperty)</t>
  </si>
  <si>
    <t xml:space="preserve">Share/compare/alert missing</t>
  </si>
  <si>
    <t xml:space="preserve">CD-03</t>
  </si>
  <si>
    <t xml:space="preserve">'Not available in source' labels; placeholder unless media cleared</t>
  </si>
  <si>
    <t xml:space="preserve">Not checked</t>
  </si>
  <si>
    <t xml:space="preserve">Check card + detail</t>
  </si>
  <si>
    <t xml:space="preserve">Media policy</t>
  </si>
  <si>
    <t xml:space="preserve">MP-01</t>
  </si>
  <si>
    <t xml:space="preserve">4.5</t>
  </si>
  <si>
    <t xml:space="preserve">Map/list toggle</t>
  </si>
  <si>
    <t xml:space="preserve">ViewToggle.tsx, properties/page.tsx ?view=map</t>
  </si>
  <si>
    <t xml:space="preserve">propertyMap.test.ts (15)</t>
  </si>
  <si>
    <t xml:space="preserve">Partial (toggle works)</t>
  </si>
  <si>
    <t xml:space="preserve">MP-02</t>
  </si>
  <si>
    <t xml:space="preserve">Plot only usable coordinates; no false geocoding</t>
  </si>
  <si>
    <t xml:space="preserve">coordinates.ts (India bounds, finite, not 0,0)</t>
  </si>
  <si>
    <t xml:space="preserve">propertyMap.test.ts</t>
  </si>
  <si>
    <t xml:space="preserve">Yes (nothing invented)</t>
  </si>
  <si>
    <t xml:space="preserve">MP-03</t>
  </si>
  <si>
    <t xml:space="preserve">Pins show real data on production</t>
  </si>
  <si>
    <t xml:space="preserve">Live: 0 pins on all-properties, Mumbai, Bangalore, Pune, Chennai</t>
  </si>
  <si>
    <t xml:space="preserve">Coordinates missing in production data</t>
  </si>
  <si>
    <t xml:space="preserve">N/A</t>
  </si>
  <si>
    <t xml:space="preserve">FAIL (0 pins)</t>
  </si>
  <si>
    <t xml:space="preserve">Approve coordinate sourcing task</t>
  </si>
  <si>
    <t xml:space="preserve">MP-04</t>
  </si>
  <si>
    <t xml:space="preserve">Pin summary links to detail; pin&lt;-&gt;card selection</t>
  </si>
  <si>
    <t xml:space="preserve">PropertyMapView.tsx reducer, text-node popups</t>
  </si>
  <si>
    <t xml:space="preserve">Never exercised on real pins in production</t>
  </si>
  <si>
    <t xml:space="preserve">propertyMap.test.ts (reducer)</t>
  </si>
  <si>
    <t xml:space="preserve">NOT VERIFIED (no pins)</t>
  </si>
  <si>
    <t xml:space="preserve">MP-05</t>
  </si>
  <si>
    <t xml:space="preserve">Clustering at zoomed-out levels (required)</t>
  </si>
  <si>
    <t xml:space="preserve">No cluster library</t>
  </si>
  <si>
    <t xml:space="preserve">Add clustering</t>
  </si>
  <si>
    <t xml:space="preserve">MP-06</t>
  </si>
  <si>
    <t xml:space="preserve">Desktop split view; mobile map screen with list toggle</t>
  </si>
  <si>
    <t xml:space="preserve">Map + card list; responsive</t>
  </si>
  <si>
    <t xml:space="preserve">True split view not confirmed</t>
  </si>
  <si>
    <t xml:space="preserve">MP-07</t>
  </si>
  <si>
    <t xml:space="preserve">'Search this area' action</t>
  </si>
  <si>
    <t xml:space="preserve">Add bounds query</t>
  </si>
  <si>
    <t xml:space="preserve">MP-08</t>
  </si>
  <si>
    <t xml:space="preserve">Loading, no-results, no-coordinate, provider-error states</t>
  </si>
  <si>
    <t xml:space="preserve">No-coordinate message seen live; list empty state</t>
  </si>
  <si>
    <t xml:space="preserve">Loading + tile/provider error states not confirmed</t>
  </si>
  <si>
    <t xml:space="preserve">MP-09</t>
  </si>
  <si>
    <t xml:space="preserve">Approved provider, costs, attribution</t>
  </si>
  <si>
    <t xml:space="preserve">Leaflet + OpenStreetMap tiles, no key</t>
  </si>
  <si>
    <t xml:space="preserve">OSM tile policy is not for heavy commercial traffic; needs a decision</t>
  </si>
  <si>
    <t xml:space="preserve">n/a</t>
  </si>
  <si>
    <t xml:space="preserve">Approve provider/budget</t>
  </si>
  <si>
    <t xml:space="preserve">CY-01</t>
  </si>
  <si>
    <t xml:space="preserve">4.6</t>
  </si>
  <si>
    <t xml:space="preserve">Mumbai city vs MMR as separate views</t>
  </si>
  <si>
    <t xml:space="preserve">Only city view exists</t>
  </si>
  <si>
    <t xml:space="preserve">MMR list is a draft; do not code until validated</t>
  </si>
  <si>
    <t xml:space="preserve">Validate MMR list</t>
  </si>
  <si>
    <t xml:space="preserve">CY-02</t>
  </si>
  <si>
    <t xml:space="preserve">City page: active count, catalogue count, labels, filters, pagination</t>
  </si>
  <si>
    <t xml:space="preserve">city/[slug]: active list capped at 48 with 'See all' link. Live /cities lists 972 cities</t>
  </si>
  <si>
    <t xml:space="preserve">Page size 48 with 'See all N' link instead of real pagination; no filters</t>
  </si>
  <si>
    <t xml:space="preserve">cityCounts.test.ts (counts)</t>
  </si>
  <si>
    <t xml:space="preserve">CY-03</t>
  </si>
  <si>
    <t xml:space="preserve">City page map/list discovery</t>
  </si>
  <si>
    <t xml:space="preserve">Absent on city pages</t>
  </si>
  <si>
    <t xml:space="preserve">Reuse map toggle</t>
  </si>
  <si>
    <t xml:space="preserve">CY-04</t>
  </si>
  <si>
    <t xml:space="preserve">Unassigned/unknown location totals reported</t>
  </si>
  <si>
    <t xml:space="preserve">Computed in cities.ts but never displayed. Live gap ~56% of catalogue</t>
  </si>
  <si>
    <t xml:space="preserve">Show 'N more listings mention &lt;city&gt;, not yet location-verified' and an admin bucket report</t>
  </si>
  <si>
    <t xml:space="preserve">CY-05</t>
  </si>
  <si>
    <t xml:space="preserve">Useful unique SEO city/institution pages, no thin pages</t>
  </si>
  <si>
    <t xml:space="preserve">City, bank pages exist</t>
  </si>
  <si>
    <t xml:space="preserve">Not audited for thin/duplicate content</t>
  </si>
  <si>
    <t xml:space="preserve">DT-01</t>
  </si>
  <si>
    <t xml:space="preserve">4.7</t>
  </si>
  <si>
    <t xml:space="preserve">Detail: reserve, dates, EMD, increment, institution, type, possession, inspection</t>
  </si>
  <si>
    <t xml:space="preserve">property/[slug]/page.tsx fields</t>
  </si>
  <si>
    <t xml:space="preserve">Eligibility/process notes not confirmed</t>
  </si>
  <si>
    <t xml:space="preserve">DT-02</t>
  </si>
  <si>
    <t xml:space="preserve">Prior rounds with status/date/reserve history; provenance per value</t>
  </si>
  <si>
    <t xml:space="preserve">Prior rounds table (reserve, EMD, dates, status)</t>
  </si>
  <si>
    <t xml:space="preserve">No per-value provenance or reserve-history chart</t>
  </si>
  <si>
    <t xml:space="preserve">DT-03</t>
  </si>
  <si>
    <t xml:space="preserve">Source notice link + last-checked timestamp</t>
  </si>
  <si>
    <t xml:space="preserve">Live detail page (flat-jail-road-nashik): no last-checked or source-freshness line</t>
  </si>
  <si>
    <t xml:space="preserve">Add last-checked + source link</t>
  </si>
  <si>
    <t xml:space="preserve">lastSeen.test.ts (pipeline only)</t>
  </si>
  <si>
    <t xml:space="preserve">DT-04</t>
  </si>
  <si>
    <t xml:space="preserve">Detail map when coordinates reliable</t>
  </si>
  <si>
    <t xml:space="preserve">Live detail page has no map</t>
  </si>
  <si>
    <t xml:space="preserve">Reuse coordinates.ts + map component</t>
  </si>
  <si>
    <t xml:space="preserve">DT-05</t>
  </si>
  <si>
    <t xml:space="preserve">Gallery of permitted media with placeholder</t>
  </si>
  <si>
    <t xml:space="preserve">Media models exist</t>
  </si>
  <si>
    <t xml:space="preserve">Rights gating not confirmed</t>
  </si>
  <si>
    <t xml:space="preserve">DT-06</t>
  </si>
  <si>
    <t xml:space="preserve">Risk indicators with evidence, confidence, review date</t>
  </si>
  <si>
    <t xml:space="preserve">No risk model or UI</t>
  </si>
  <si>
    <t xml:space="preserve">Build per section 5</t>
  </si>
  <si>
    <t xml:space="preserve">Risk rubric</t>
  </si>
  <si>
    <t xml:space="preserve">DT-07</t>
  </si>
  <si>
    <t xml:space="preserve">Share, compare, alert, client card, request professional help</t>
  </si>
  <si>
    <t xml:space="preserve">Live detail: WhatsApp enquiry + Contact Us only. No save/share/compare/alert/client card</t>
  </si>
  <si>
    <t xml:space="preserve">Others absent</t>
  </si>
  <si>
    <t xml:space="preserve">Confirmed</t>
  </si>
  <si>
    <t xml:space="preserve">Legal service boundary</t>
  </si>
  <si>
    <t xml:space="preserve">DT-08</t>
  </si>
  <si>
    <t xml:space="preserve">Research-only disclaimer on detail</t>
  </si>
  <si>
    <t xml:space="preserve">Live detail page has one line 'Always confirm auction details against the official documents'. No full disclaimer block</t>
  </si>
  <si>
    <t xml:space="preserve">Detail-page disclaimer not confirmed</t>
  </si>
  <si>
    <t xml:space="preserve">publicClaims.test.ts</t>
  </si>
  <si>
    <t xml:space="preserve">CM-01</t>
  </si>
  <si>
    <t xml:space="preserve">4.8</t>
  </si>
  <si>
    <t xml:space="preserve">Compare selected properties</t>
  </si>
  <si>
    <t xml:space="preserve">Build compare UI + URL</t>
  </si>
  <si>
    <t xml:space="preserve">CM-02</t>
  </si>
  <si>
    <t xml:space="preserve">Branded client card/report with timestamp, source links, missing-data flags (AT-15)</t>
  </si>
  <si>
    <t xml:space="preserve">Build report generator</t>
  </si>
  <si>
    <t xml:space="preserve">CM-03</t>
  </si>
  <si>
    <t xml:space="preserve">Revocable/expiring public share links; private notes separation</t>
  </si>
  <si>
    <t xml:space="preserve">Share-token model</t>
  </si>
  <si>
    <t xml:space="preserve">RK-01</t>
  </si>
  <si>
    <t xml:space="preserve">5.1</t>
  </si>
  <si>
    <t xml:space="preserve">Risk fields: possession, litigation, dues, tenancy, title concerns, doc completeness, confidence</t>
  </si>
  <si>
    <t xml:space="preserve">possessionStatus (free text), completeness.ts</t>
  </si>
  <si>
    <t xml:space="preserve">Others absent; not evidence-linked</t>
  </si>
  <si>
    <t xml:space="preserve">completeness.test.ts</t>
  </si>
  <si>
    <t xml:space="preserve">RK-02</t>
  </si>
  <si>
    <t xml:space="preserve">5.2</t>
  </si>
  <si>
    <t xml:space="preserve">No opaque legal score; descriptive evidence-backed flags</t>
  </si>
  <si>
    <t xml:space="preserve">No score exists</t>
  </si>
  <si>
    <t xml:space="preserve">Keep it that way until rubric approved</t>
  </si>
  <si>
    <t xml:space="preserve">Rubric</t>
  </si>
  <si>
    <t xml:space="preserve">RK-03</t>
  </si>
  <si>
    <t xml:space="preserve">5.3</t>
  </si>
  <si>
    <t xml:space="preserve">Reviewer workflow: confirmed/source-stated/uncertain/incorrect/legal review; correction history</t>
  </si>
  <si>
    <t xml:space="preserve">pipeline/review.ts is for duplicates/locations, not risk</t>
  </si>
  <si>
    <t xml:space="preserve">Build review states + audit trail</t>
  </si>
  <si>
    <t xml:space="preserve">RK-04</t>
  </si>
  <si>
    <t xml:space="preserve">Public correction/contact path, 24h review SLA (AT-19)</t>
  </si>
  <si>
    <t xml:space="preserve">Contact page + Lead model</t>
  </si>
  <si>
    <t xml:space="preserve">No property-linked 'report error', no status/SLA tracking</t>
  </si>
  <si>
    <t xml:space="preserve">Staffing SLA</t>
  </si>
  <si>
    <t xml:space="preserve">SC-01</t>
  </si>
  <si>
    <t xml:space="preserve">6</t>
  </si>
  <si>
    <t xml:space="preserve">Source register: terms, robots, last success, health, limitations</t>
  </si>
  <si>
    <t xml:space="preserve">Source, FeedSource, SourceRunLog, admin pages</t>
  </si>
  <si>
    <t xml:space="preserve">Terms-review record missing</t>
  </si>
  <si>
    <t xml:space="preserve">sourceCompliance.test.ts</t>
  </si>
  <si>
    <t xml:space="preserve">SC-02</t>
  </si>
  <si>
    <t xml:space="preserve">Never bypass robots/401/403/CAPTCHA; stop and record refusal (AT-13)</t>
  </si>
  <si>
    <t xml:space="preserve">robotsGate.ts, sourceProtection.ts, httpStatus handling</t>
  </si>
  <si>
    <t xml:space="preserve">Not re-audited per source this session</t>
  </si>
  <si>
    <t xml:space="preserve">robotsRules.test.ts, httpStatus.test.ts, sourceProtection.test.ts</t>
  </si>
  <si>
    <t xml:space="preserve">Unit tests exist</t>
  </si>
  <si>
    <t xml:space="preserve">SC-03</t>
  </si>
  <si>
    <t xml:space="preserve">Store source URL, ID, retrieval time, extraction version, field evidence</t>
  </si>
  <si>
    <t xml:space="preserve">externalAuctionId, noticeNumber, fieldProvenance</t>
  </si>
  <si>
    <t xml:space="preserve">Extraction version not confirmed</t>
  </si>
  <si>
    <t xml:space="preserve">SC-04</t>
  </si>
  <si>
    <t xml:space="preserve">Conservative dedupe; ambiguous -&gt; review</t>
  </si>
  <si>
    <t xml:space="preserve">deduplication/, pipeline/duplicates.ts, admin duplicates page</t>
  </si>
  <si>
    <t xml:space="preserve">dedupe.test.ts</t>
  </si>
  <si>
    <t xml:space="preserve">SC-05</t>
  </si>
  <si>
    <t xml:space="preserve">Run states: success/no-change/blocked/partial/failed/stale distinct</t>
  </si>
  <si>
    <t xml:space="preserve">SourceRunLog status: ok/error/skipped/blocked; schedulerHealth</t>
  </si>
  <si>
    <t xml:space="preserve">No partial, no-change or stale state</t>
  </si>
  <si>
    <t xml:space="preserve">scheduler.test.ts, zeroYield.test.ts</t>
  </si>
  <si>
    <t xml:space="preserve">SC-06</t>
  </si>
  <si>
    <t xml:space="preserve">Do not ingest findauction.in</t>
  </si>
  <si>
    <t xml:space="preserve">Not checked in registry this session</t>
  </si>
  <si>
    <t xml:space="preserve">Check src/data-sources/registry.ts</t>
  </si>
  <si>
    <t xml:space="preserve">sourceClassification.test.ts (scope not checked)</t>
  </si>
  <si>
    <t xml:space="preserve">SC-07</t>
  </si>
  <si>
    <t xml:space="preserve">No media ingest without type + permission</t>
  </si>
  <si>
    <t xml:space="preserve">Audit media pipeline</t>
  </si>
  <si>
    <t xml:space="preserve">AC-01</t>
  </si>
  <si>
    <t xml:space="preserve">7.1</t>
  </si>
  <si>
    <t xml:space="preserve">Email/phone sign-in, recovery, preferences</t>
  </si>
  <si>
    <t xml:space="preserve">login/register, userSession.ts, password.ts</t>
  </si>
  <si>
    <t xml:space="preserve">No phone/OTP, no recovery flow found</t>
  </si>
  <si>
    <t xml:space="preserve">AC-02</t>
  </si>
  <si>
    <t xml:space="preserve">Explicit opt-in per channel; simple opt-out; consent log</t>
  </si>
  <si>
    <t xml:space="preserve">Consent model + UI</t>
  </si>
  <si>
    <t xml:space="preserve">AC-03</t>
  </si>
  <si>
    <t xml:space="preserve">Saved properties, searches, alert history, invoices, support requests</t>
  </si>
  <si>
    <t xml:space="preserve">saved-properties, my-alerts pages</t>
  </si>
  <si>
    <t xml:space="preserve">No invoices, alert history or tickets</t>
  </si>
  <si>
    <t xml:space="preserve">AC-04</t>
  </si>
  <si>
    <t xml:space="preserve">Server-side authorisation of premium fields/docs/APIs; cache leakage tests (AT-08)</t>
  </si>
  <si>
    <t xml:space="preserve">No tiers or entitlements; public API keys exist (ApiKey)</t>
  </si>
  <si>
    <t xml:space="preserve">Entitlement layer + tests</t>
  </si>
  <si>
    <t xml:space="preserve">borrowerExposure.test.ts (different issue)</t>
  </si>
  <si>
    <t xml:space="preserve">Free-tier masking decision</t>
  </si>
  <si>
    <t xml:space="preserve">TR-01</t>
  </si>
  <si>
    <t xml:space="preserve">7.2</t>
  </si>
  <si>
    <t xml:space="preserve">Tiers: visitor, free, single notice, quarterly/half/yearly, Founding, Team, Private Desk</t>
  </si>
  <si>
    <t xml:space="preserve">Pricing page only</t>
  </si>
  <si>
    <t xml:space="preserve">Plans, entitlements, masking</t>
  </si>
  <si>
    <t xml:space="preserve">Approve plans</t>
  </si>
  <si>
    <t xml:space="preserve">TR-02</t>
  </si>
  <si>
    <t xml:space="preserve">7.3</t>
  </si>
  <si>
    <t xml:space="preserve">Approved prices, GST wording, no contradictory prices</t>
  </si>
  <si>
    <t xml:space="preserve">Live /pricing: 3 Month Rs 2,500, 6 Month Rs 4,000, 1 Year Rs 7,000, GST included. Spec proposals: 1,499 / 2,699 / 4,999 plus Founding, Single, Team, Desk</t>
  </si>
  <si>
    <t xml:space="preserve">Prices differ from spec; no Founding/Single/Team/Desk plans listed</t>
  </si>
  <si>
    <t xml:space="preserve">Yes (page loads, copy honest: payments not live)</t>
  </si>
  <si>
    <t xml:space="preserve">Approve prices + GST wording</t>
  </si>
  <si>
    <t xml:space="preserve">PY-01</t>
  </si>
  <si>
    <t xml:space="preserve">7.4</t>
  </si>
  <si>
    <t xml:space="preserve">Gateway checkout; server-side order; signed webhook; idempotency (AT-09)</t>
  </si>
  <si>
    <t xml:space="preserve">Live /pricing says 'Online payment isn't live yet - contact us to activate a plan manually'. No webhook route in code</t>
  </si>
  <si>
    <t xml:space="preserve">No webhook route or checkout flow found under src/app/api</t>
  </si>
  <si>
    <t xml:space="preserve">Confirmed not live</t>
  </si>
  <si>
    <t xml:space="preserve">Gateway account + test keys</t>
  </si>
  <si>
    <t xml:space="preserve">PY-02</t>
  </si>
  <si>
    <t xml:space="preserve">Entitlement only after verified payment</t>
  </si>
  <si>
    <t xml:space="preserve">No entitlements</t>
  </si>
  <si>
    <t xml:space="preserve">Build with PY-01</t>
  </si>
  <si>
    <t xml:space="preserve">PY-03</t>
  </si>
  <si>
    <t xml:space="preserve">Recurring (UPI AutoPay/card) with mandate consent</t>
  </si>
  <si>
    <t xml:space="preserve">Only if approved</t>
  </si>
  <si>
    <t xml:space="preserve">Approve or drop</t>
  </si>
  <si>
    <t xml:space="preserve">PY-04</t>
  </si>
  <si>
    <t xml:space="preserve">GST invoices, credit notes, numbering</t>
  </si>
  <si>
    <t xml:space="preserve">CA-approved rules first</t>
  </si>
  <si>
    <t xml:space="preserve">CA input</t>
  </si>
  <si>
    <t xml:space="preserve">PY-05</t>
  </si>
  <si>
    <t xml:space="preserve">Refund policy shown pre-payment; refund/cancel/renew/expiry flows (AT-10)</t>
  </si>
  <si>
    <t xml:space="preserve">Payment.status has 'refunded' only</t>
  </si>
  <si>
    <t xml:space="preserve">Policy + flows</t>
  </si>
  <si>
    <t xml:space="preserve">Approve refund policy</t>
  </si>
  <si>
    <t xml:space="preserve">AL-01</t>
  </si>
  <si>
    <t xml:space="preserve">8</t>
  </si>
  <si>
    <t xml:space="preserve">Alerts by city/PIN/bank/budget/type/status</t>
  </si>
  <si>
    <t xml:space="preserve">Alert.filters JSON, my-alerts</t>
  </si>
  <si>
    <t xml:space="preserve">PIN absent; matching engine not found</t>
  </si>
  <si>
    <t xml:space="preserve">AL-02</t>
  </si>
  <si>
    <t xml:space="preserve">Delivery: email, WhatsApp, push; immediate + digest (AT-11)</t>
  </si>
  <si>
    <t xml:space="preserve">Live /pricing says personalised alerts 'planned and not yet available'. No provider code</t>
  </si>
  <si>
    <t xml:space="preserve">Choose providers, templates, jobs</t>
  </si>
  <si>
    <t xml:space="preserve">Providers + cost</t>
  </si>
  <si>
    <t xml:space="preserve">AL-03</t>
  </si>
  <si>
    <t xml:space="preserve">Dedupe, new vs material change, delivery log, retry</t>
  </si>
  <si>
    <t xml:space="preserve">Build</t>
  </si>
  <si>
    <t xml:space="preserve">AL-04</t>
  </si>
  <si>
    <t xml:space="preserve">Retention workflows (weekly digest, day-14, day-60, renewal)</t>
  </si>
  <si>
    <t xml:space="preserve">Build after AL-02</t>
  </si>
  <si>
    <t xml:space="preserve">Consent rules</t>
  </si>
  <si>
    <t xml:space="preserve">PT-01</t>
  </si>
  <si>
    <t xml:space="preserve">9.1</t>
  </si>
  <si>
    <t xml:space="preserve">Partner application, agreement, code/link, 30-day attribution</t>
  </si>
  <si>
    <t xml:space="preserve">Full build</t>
  </si>
  <si>
    <t xml:space="preserve">PT-02</t>
  </si>
  <si>
    <t xml:space="preserve">9.2</t>
  </si>
  <si>
    <t xml:space="preserve">Commission engine: tiers, clawback, payout statements</t>
  </si>
  <si>
    <t xml:space="preserve">One approved schedule + CA</t>
  </si>
  <si>
    <t xml:space="preserve">PT-03</t>
  </si>
  <si>
    <t xml:space="preserve">9.3</t>
  </si>
  <si>
    <t xml:space="preserve">Partner dashboard + exports (AT-14)</t>
  </si>
  <si>
    <t xml:space="preserve">TM-01</t>
  </si>
  <si>
    <t xml:space="preserve">9.4</t>
  </si>
  <si>
    <t xml:space="preserve">Team seats, roles, shared shortlist, pipeline stages, notes, access log</t>
  </si>
  <si>
    <t xml:space="preserve">Team scope</t>
  </si>
  <si>
    <t xml:space="preserve">TM-02</t>
  </si>
  <si>
    <t xml:space="preserve">Firm logo / client card config with safe upload</t>
  </si>
  <si>
    <t xml:space="preserve">Build with CM-02</t>
  </si>
  <si>
    <t xml:space="preserve">MD-01</t>
  </si>
  <si>
    <t xml:space="preserve">10</t>
  </si>
  <si>
    <t xml:space="preserve">Store type, origin, rights, review state per asset; placeholders (AT-16)</t>
  </si>
  <si>
    <t xml:space="preserve">Live: property type page counts sum to 8,919 vs 9,304 published; 385 uncategorised; 'Vehicles' category shows 0</t>
  </si>
  <si>
    <t xml:space="preserve">Rights fields + public gating not confirmed</t>
  </si>
  <si>
    <t xml:space="preserve">MD-02</t>
  </si>
  <si>
    <t xml:space="preserve">Document access by entitlement; expiring signed links</t>
  </si>
  <si>
    <t xml:space="preserve">Depends on AC-04</t>
  </si>
  <si>
    <t xml:space="preserve">MD-03</t>
  </si>
  <si>
    <t xml:space="preserve">Admin content: guides, FAQs, city pages, Auction of the Day, video</t>
  </si>
  <si>
    <t xml:space="preserve">Admin blog, pages, home config</t>
  </si>
  <si>
    <t xml:space="preserve">Auction of the Day, video, language variants absent</t>
  </si>
  <si>
    <t xml:space="preserve">SE-01</t>
  </si>
  <si>
    <t xml:space="preserve">11</t>
  </si>
  <si>
    <t xml:space="preserve">Canonical URLs, metadata, sitemap, robots, pagination policy (AT-18)</t>
  </si>
  <si>
    <t xml:space="preserve">Live: robots.txt ok (blocks /admin, /api, /login, /my-alerts); sitemap 10,268 URLs (9,180 property, 930 city); canonical on detail ok; /properties?city=X canonicalises to /properties</t>
  </si>
  <si>
    <t xml:space="preserve">930 city URLs include many tiny cities (thin-page risk, spec 4.6); pagination/indexation policy undocumented</t>
  </si>
  <si>
    <t xml:space="preserve">SE-02</t>
  </si>
  <si>
    <t xml:space="preserve">No fabricated structured data</t>
  </si>
  <si>
    <t xml:space="preserve">JsonLd.tsx exists</t>
  </si>
  <si>
    <t xml:space="preserve">Audit output fields</t>
  </si>
  <si>
    <t xml:space="preserve">LG-01</t>
  </si>
  <si>
    <t xml:space="preserve">Hindi + 7 regional languages; labelled translations</t>
  </si>
  <si>
    <t xml:space="preserve">i18n framework + content</t>
  </si>
  <si>
    <t xml:space="preserve">Launch languages</t>
  </si>
  <si>
    <t xml:space="preserve">AN-01</t>
  </si>
  <si>
    <t xml:space="preserve">Consent-aware analytics, UTM, signup-to-paid funnel</t>
  </si>
  <si>
    <t xml:space="preserve">No analytics code found</t>
  </si>
  <si>
    <t xml:space="preserve">Choose tool, consent banner</t>
  </si>
  <si>
    <t xml:space="preserve">Analytics tool</t>
  </si>
  <si>
    <t xml:space="preserve">AD-01</t>
  </si>
  <si>
    <t xml:space="preserve">12</t>
  </si>
  <si>
    <t xml:space="preserve">Admin: sources, duplicates, coverage, history, users, leads, payments, media, settings</t>
  </si>
  <si>
    <t xml:space="preserve">Admin pages exist in code; I could not log in to admin in my browser, so admin behaviour was NOT audited live</t>
  </si>
  <si>
    <t xml:space="preserve">No risk queue, partner queue, location backlog, support tickets</t>
  </si>
  <si>
    <t xml:space="preserve">NOT VERIFIED</t>
  </si>
  <si>
    <t xml:space="preserve">AD-02</t>
  </si>
  <si>
    <t xml:space="preserve">Data-quality dashboard: missing city/coords/dates/prices, undated, end&lt;start, contradictions</t>
  </si>
  <si>
    <t xml:space="preserve">engine/coverage, completeness.ts, coverage.ts</t>
  </si>
  <si>
    <t xml:space="preserve">Undated/end&lt;start/coords not confirmed; unassigned city not shown</t>
  </si>
  <si>
    <t xml:space="preserve">coverage.test.ts, completeness.test.ts</t>
  </si>
  <si>
    <t xml:space="preserve">AD-03</t>
  </si>
  <si>
    <t xml:space="preserve">Operational audit log for admin changes</t>
  </si>
  <si>
    <t xml:space="preserve">No audit-log model found</t>
  </si>
  <si>
    <t xml:space="preserve">Add AuditLog + hooks</t>
  </si>
  <si>
    <t xml:space="preserve">AD-04</t>
  </si>
  <si>
    <t xml:space="preserve">Support ticket flow with category, SLA, history</t>
  </si>
  <si>
    <t xml:space="preserve">Contact form -&gt; Lead only</t>
  </si>
  <si>
    <t xml:space="preserve">Ticket model + admin queue</t>
  </si>
  <si>
    <t xml:space="preserve">AD-05</t>
  </si>
  <si>
    <t xml:space="preserve">Role-protected, logged, minimised exports; borrower data minimised</t>
  </si>
  <si>
    <t xml:space="preserve">AdminRole, adminAuth; borrower exposure guard</t>
  </si>
  <si>
    <t xml:space="preserve">Export logging absent</t>
  </si>
  <si>
    <t xml:space="preserve">borrowerExposure.test.ts</t>
  </si>
  <si>
    <t xml:space="preserve">Yes (borrower test)</t>
  </si>
  <si>
    <t xml:space="preserve">SEC-01</t>
  </si>
  <si>
    <t xml:space="preserve">13</t>
  </si>
  <si>
    <t xml:space="preserve">Least privilege, secure sessions, validation</t>
  </si>
  <si>
    <t xml:space="preserve">adminSession/userSession, validation/, httpOnly cookies in admin login</t>
  </si>
  <si>
    <t xml:space="preserve">Not security-reviewed</t>
  </si>
  <si>
    <t xml:space="preserve">SEC-02</t>
  </si>
  <si>
    <t xml:space="preserve">Rate limits on public endpoints/forms</t>
  </si>
  <si>
    <t xml:space="preserve">Rate handling found only in outbound scrapers</t>
  </si>
  <si>
    <t xml:space="preserve">Add limits on login, contact, API</t>
  </si>
  <si>
    <t xml:space="preserve">SEC-03</t>
  </si>
  <si>
    <t xml:space="preserve">Secure headers (CSP, HSTS, frame, nosniff) globally</t>
  </si>
  <si>
    <t xml:space="preserve">Live headers on / and detail: only Strict-Transport-Security. No CSP, X-Frame-Options, X-Content-Type-Options, Referrer-Policy</t>
  </si>
  <si>
    <t xml:space="preserve">Add headers config</t>
  </si>
  <si>
    <t xml:space="preserve">SEC-04</t>
  </si>
  <si>
    <t xml:space="preserve">Consent/opt-out records; incident, backup, restore, deletion processes</t>
  </si>
  <si>
    <t xml:space="preserve">Not found</t>
  </si>
  <si>
    <t xml:space="preserve">Process + tooling</t>
  </si>
  <si>
    <t xml:space="preserve">SEC-05</t>
  </si>
  <si>
    <t xml:space="preserve">Production changes need PR, CI, preview, owner approval, smoke test</t>
  </si>
  <si>
    <t xml:space="preserve">ci.yml, PR flow followed for #25/#26</t>
  </si>
  <si>
    <t xml:space="preserve">CI/Vercel results for #25/#26 were never read by me</t>
  </si>
  <si>
    <t xml:space="preserve">CI</t>
  </si>
  <si>
    <t xml:space="preserve">NF-01</t>
  </si>
  <si>
    <t xml:space="preserve">14</t>
  </si>
  <si>
    <t xml:space="preserve">Performance: pagination, bounded queries, caching w/o entitlement leakage; CWV targets</t>
  </si>
  <si>
    <t xml:space="preserve">Paginated lists; unstable_cache for city summary</t>
  </si>
  <si>
    <t xml:space="preserve">No CWV targets or measurements</t>
  </si>
  <si>
    <t xml:space="preserve">Set CWV targets</t>
  </si>
  <si>
    <t xml:space="preserve">NF-02</t>
  </si>
  <si>
    <t xml:space="preserve">Reliability monitoring: errors, import health, webhooks, delivery</t>
  </si>
  <si>
    <t xml:space="preserve">api/cron/health, scheduler watchdog, schedulerHealth.ts</t>
  </si>
  <si>
    <t xml:space="preserve">No error tracker, webhook or delivery monitoring</t>
  </si>
  <si>
    <t xml:space="preserve">scheduler.test.ts</t>
  </si>
  <si>
    <t xml:space="preserve">NF-03</t>
  </si>
  <si>
    <t xml:space="preserve">Accessibility (keyboard, focus, labels, contrast)</t>
  </si>
  <si>
    <t xml:space="preserve">Map component has labels; no audit</t>
  </si>
  <si>
    <t xml:space="preserve">Run audit</t>
  </si>
  <si>
    <t xml:space="preserve">NF-04</t>
  </si>
  <si>
    <t xml:space="preserve">Load test at 5,000 concurrent users</t>
  </si>
  <si>
    <t xml:space="preserve">Needs budget/environment</t>
  </si>
  <si>
    <t xml:space="preserve">Approve scope</t>
  </si>
  <si>
    <t xml:space="preserve">NF-05</t>
  </si>
  <si>
    <t xml:space="preserve">Backups, restore test, RPO/RTO, rollback</t>
  </si>
  <si>
    <t xml:space="preserve">Not found in repo</t>
  </si>
  <si>
    <t xml:space="preserve">Document + test restore</t>
  </si>
  <si>
    <t xml:space="preserve">Hosting/DB provider facts</t>
  </si>
  <si>
    <t xml:space="preserve">AU-01</t>
  </si>
  <si>
    <t xml:space="preserve">/auctions and /auctions/&lt;status&gt; pages paginate and show true totals (AT-07)</t>
  </si>
  <si>
    <t xml:space="preserve">Live: all four pages show '48 auction(s)' and 48 cards; ?page=2 returns the same first listing; no pager links</t>
  </si>
  <si>
    <t xml:space="preserve">Add pagination + real total; label is misleading</t>
  </si>
  <si>
    <t xml:space="preserve">AU-02</t>
  </si>
  <si>
    <t xml:space="preserve">Auction Today has its own view/filter</t>
  </si>
  <si>
    <t xml:space="preserve">Live: /auctions/today returns 'Auctions not found'; tabs show Upcoming/Live/Completed/Postponed/Cancelled only</t>
  </si>
  <si>
    <t xml:space="preserve">Add Today view or filter</t>
  </si>
  <si>
    <t xml:space="preserve">DT-09</t>
  </si>
  <si>
    <t xml:space="preserve">Similar properties are actually similar</t>
  </si>
  <si>
    <t xml:space="preserve">Live: on a Nashik listing, 4 of 8 'Similar Properties' are Bengaluru, Morbi and Surat</t>
  </si>
  <si>
    <t xml:space="preserve">Restrict by city/state + type</t>
  </si>
  <si>
    <t xml:space="preserve">CY-06</t>
  </si>
  <si>
    <t xml:space="preserve">Canonical city list has no duplicate/variant names</t>
  </si>
  <si>
    <t xml:space="preserve">Live /cities: Vasai and Vasai Virar; Aurangabad and Chhatrapati Sambhajinagar; 972 city entries</t>
  </si>
  <si>
    <t xml:space="preserve">Merge variants in canonCity; prune tiny cities from index</t>
  </si>
  <si>
    <t xml:space="preserve">tests/cityCounts.test.ts (no variant cases)</t>
  </si>
  <si>
    <t xml:space="preserve">Confirm canonical names</t>
  </si>
  <si>
    <t xml:space="preserve">PV-01</t>
  </si>
  <si>
    <t xml:space="preserve">Premium copy matches privacy spec (borrower names)</t>
  </si>
  <si>
    <t xml:space="preserve">Live /pricing sells 'full borrower name &amp; contact details'; detail shows 'Borrower details available with Premium'</t>
  </si>
  <si>
    <t xml:space="preserve">Spec section 13: minimise borrower personal data; needs documented lawful need</t>
  </si>
  <si>
    <t xml:space="preserve">tests/borrowerExposure.test.ts</t>
  </si>
  <si>
    <t xml:space="preserve">Approve borrower-data policy</t>
  </si>
  <si>
    <t xml:space="preserve">DQ-01</t>
  </si>
  <si>
    <t xml:space="preserve">Active headline excludes undated rounds</t>
  </si>
  <si>
    <t xml:space="preserve">Live: 6,988 of 9,304 published are 'active' (75%), includes undated open rounds by current rule</t>
  </si>
  <si>
    <t xml:space="preserve">True active count unknown until undated rounds are separated</t>
  </si>
  <si>
    <t xml:space="preserve">FAIL (suspect inflation)</t>
  </si>
  <si>
    <t xml:space="preserve">Confirm rule change</t>
  </si>
  <si>
    <t xml:space="preserve">Test</t>
  </si>
  <si>
    <t xml:space="preserve">AT-01</t>
  </si>
  <si>
    <t xml:space="preserve">City count parity</t>
  </si>
  <si>
    <t xml:space="preserve">Parity holds (8/8 tiles) but on canonical-city rows only; ~56% of catalogue has no canonical city</t>
  </si>
  <si>
    <t xml:space="preserve">AT-02</t>
  </si>
  <si>
    <t xml:space="preserve">Active/Live/Today/Completed/Cancelled/Postponed tested; Undated state absent</t>
  </si>
  <si>
    <t xml:space="preserve">NV</t>
  </si>
  <si>
    <t xml:space="preserve">AT-03</t>
  </si>
  <si>
    <t xml:space="preserve">Distinct property count</t>
  </si>
  <si>
    <t xml:space="preserve">Property-level counts; unit-tested</t>
  </si>
  <si>
    <t xml:space="preserve">AT-04</t>
  </si>
  <si>
    <t xml:space="preserve">No auction round</t>
  </si>
  <si>
    <t xml:space="preserve">Catalogue vs active definitions</t>
  </si>
  <si>
    <t xml:space="preserve">AT-05</t>
  </si>
  <si>
    <t xml:space="preserve">Unknown city</t>
  </si>
  <si>
    <t xml:space="preserve">Not assigned by fuzzy match (good) but bucket never reported; live gap ~5,236 properties</t>
  </si>
  <si>
    <t xml:space="preserve">FAIL (invisible gap)</t>
  </si>
  <si>
    <t xml:space="preserve">AT-06</t>
  </si>
  <si>
    <t xml:space="preserve">Map/list parity</t>
  </si>
  <si>
    <t xml:space="preserve">Filter parity unit-tested; production has no coordinates so pins untested live</t>
  </si>
  <si>
    <t xml:space="preserve">AT-07</t>
  </si>
  <si>
    <t xml:space="preserve">Pagination</t>
  </si>
  <si>
    <t xml:space="preserve">/properties paginates; /auctions/* capped at 48 with no pager, page 2 repeats page 1; no sort</t>
  </si>
  <si>
    <t xml:space="preserve">FAIL (/auctions)</t>
  </si>
  <si>
    <t xml:space="preserve">AT-08</t>
  </si>
  <si>
    <t xml:space="preserve">Premium access</t>
  </si>
  <si>
    <t xml:space="preserve">AT-09</t>
  </si>
  <si>
    <t xml:space="preserve">Payment integrity</t>
  </si>
  <si>
    <t xml:space="preserve">No webhook/checkout found</t>
  </si>
  <si>
    <t xml:space="preserve">AT-10</t>
  </si>
  <si>
    <t xml:space="preserve">Renewal/refund</t>
  </si>
  <si>
    <t xml:space="preserve">AT-11</t>
  </si>
  <si>
    <t xml:space="preserve">Alert records only; no delivery</t>
  </si>
  <si>
    <t xml:space="preserve">AT-12</t>
  </si>
  <si>
    <t xml:space="preserve">Risk provenance</t>
  </si>
  <si>
    <t xml:space="preserve">No risk flags</t>
  </si>
  <si>
    <t xml:space="preserve">AT-13</t>
  </si>
  <si>
    <t xml:space="preserve">Source controls</t>
  </si>
  <si>
    <t xml:space="preserve">Robots/HTTP-status tests exist; per-source audit not redone</t>
  </si>
  <si>
    <t xml:space="preserve">Partner attribution</t>
  </si>
  <si>
    <t xml:space="preserve">AT-15</t>
  </si>
  <si>
    <t xml:space="preserve">Client report</t>
  </si>
  <si>
    <t xml:space="preserve">AT-16</t>
  </si>
  <si>
    <t xml:space="preserve">Media rights</t>
  </si>
  <si>
    <t xml:space="preserve">Models exist; gating not checked</t>
  </si>
  <si>
    <t xml:space="preserve">AT-17</t>
  </si>
  <si>
    <t xml:space="preserve">Privacy/security</t>
  </si>
  <si>
    <t xml:space="preserve">Borrower-data test only</t>
  </si>
  <si>
    <t xml:space="preserve">AT-18</t>
  </si>
  <si>
    <t xml:space="preserve">Sitemap/robots/canonicals exist; not audited</t>
  </si>
  <si>
    <t xml:space="preserve">AT-19</t>
  </si>
  <si>
    <t xml:space="preserve">Support and correction</t>
  </si>
  <si>
    <t xml:space="preserve">Contact form only</t>
  </si>
  <si>
    <t xml:space="preserve">AT-20</t>
  </si>
  <si>
    <t xml:space="preserve">Production smoke test</t>
  </si>
  <si>
    <t xml:space="preserve">Done this session for homepage tiles, search, city, map toggle only. Not done: detail, sign-in, pricing, payment, alerts, admin</t>
  </si>
  <si>
    <t xml:space="preserve">Decision</t>
  </si>
  <si>
    <t xml:space="preserve">Current state</t>
  </si>
  <si>
    <t xml:space="preserve">What it blocks</t>
  </si>
  <si>
    <t xml:space="preserve">Needed by</t>
  </si>
  <si>
    <t xml:space="preserve">Final plan prices and GST display</t>
  </si>
  <si>
    <t xml:space="preserve">Not decided</t>
  </si>
  <si>
    <t xml:space="preserve">Blocks checkout, pricing page, partner creatives</t>
  </si>
  <si>
    <t xml:space="preserve">Free-tier delay and masking</t>
  </si>
  <si>
    <t xml:space="preserve">Blocks entitlement layer (AT-08)</t>
  </si>
  <si>
    <t xml:space="preserve">Refund policy</t>
  </si>
  <si>
    <t xml:space="preserve">Blocks refund flow, checkout copy</t>
  </si>
  <si>
    <t xml:space="preserve">Map provider</t>
  </si>
  <si>
    <t xml:space="preserve">Using free OSM tiles</t>
  </si>
  <si>
    <t xml:space="preserve">Confirm acceptable for launch traffic or pick paid provider</t>
  </si>
  <si>
    <t xml:space="preserve">Blocks risk flags (P1)</t>
  </si>
  <si>
    <t xml:space="preserve">Source permissions</t>
  </si>
  <si>
    <t xml:space="preserve">Blocks any new source</t>
  </si>
  <si>
    <t xml:space="preserve">Media permissions</t>
  </si>
  <si>
    <t xml:space="preserve">Blocks gallery, thumbnails, AT-16</t>
  </si>
  <si>
    <t xml:space="preserve">Language launch waves</t>
  </si>
  <si>
    <t xml:space="preserve">Blocks i18n</t>
  </si>
  <si>
    <t xml:space="preserve">MMR membership list</t>
  </si>
  <si>
    <t xml:space="preserve">Draft only</t>
  </si>
  <si>
    <t xml:space="preserve">Blocks MMR view</t>
  </si>
  <si>
    <t xml:space="preserve">Partner commission schedule</t>
  </si>
  <si>
    <t xml:space="preserve">Multiple proposals</t>
  </si>
  <si>
    <t xml:space="preserve">Blocks partner build</t>
  </si>
  <si>
    <t xml:space="preserve">Team and Private Desk scope</t>
  </si>
  <si>
    <t xml:space="preserve">Blocks P2 suite</t>
  </si>
  <si>
    <t xml:space="preserve">Blocks 'request professional help'</t>
  </si>
  <si>
    <t xml:space="preserve">Borrower names in Premium</t>
  </si>
  <si>
    <t xml:space="preserve">Pricing page sells them</t>
  </si>
  <si>
    <t xml:space="preserve">Conflicts with data-minimisation; needs lawful-need policy</t>
  </si>
  <si>
    <t xml:space="preserve">Location backfill (geoCity) for ~5,236 unassigned properties</t>
  </si>
  <si>
    <t xml:space="preserve">New - from 9 Oct audit</t>
  </si>
  <si>
    <t xml:space="preserve">Data change; needs written approval + rollback plan</t>
  </si>
  <si>
    <t xml:space="preserve">Load target and budget</t>
  </si>
  <si>
    <t xml:space="preserve">Release-gate scope</t>
  </si>
  <si>
    <t xml:space="preserve">Undated rounds: spec rule vs current behaviour</t>
  </si>
  <si>
    <t xml:space="preserve">New - from this review</t>
  </si>
  <si>
    <t xml:space="preserve">Current code counts undated open rounds as active; spec excludes them</t>
  </si>
  <si>
    <t xml:space="preserve">Coordinates for properties</t>
  </si>
  <si>
    <t xml:space="preserve">New - from live check</t>
  </si>
  <si>
    <t xml:space="preserve">Map has 0 pins; needs owner-approved data task (no invented coordinates)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</si>
</sst>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F8CBAD"/>
        <bgColor rgb="FFD9D9D9"/>
      </patternFill>
    </fill>
    <fill>
      <patternFill patternType="solid">
        <fgColor rgb="FFD9D9D9"/>
        <bgColor rgb="FFBDD7EE"/>
      </patternFill>
    </fill>
    <fill>
      <patternFill patternType="solid">
        <fgColor rgb="FFBDD7E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BDD7E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D9D9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8" min="2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15" hidden="false" customHeight="false" outlineLevel="0" collapsed="false">
      <c r="A5" s="5" t="s">
        <v>10</v>
      </c>
      <c r="B5" s="3" t="n">
        <f aca="false">COUNTIF(Matrix!$E$2:$E$119,$A5)</f>
        <v>17</v>
      </c>
      <c r="C5" s="3" t="n">
        <f aca="false">COUNTIFS(Matrix!$E$2:$E$119,$A5,Matrix!$C$2:$C$119,C$4)</f>
        <v>16</v>
      </c>
      <c r="D5" s="3" t="n">
        <f aca="false">COUNTIFS(Matrix!$E$2:$E$119,$A5,Matrix!$C$2:$C$119,D$4)</f>
        <v>0</v>
      </c>
      <c r="E5" s="3" t="n">
        <f aca="false">COUNTIFS(Matrix!$E$2:$E$119,$A5,Matrix!$C$2:$C$119,E$4)</f>
        <v>1</v>
      </c>
      <c r="F5" s="3" t="n">
        <f aca="false">COUNTIFS(Matrix!$E$2:$E$119,$A5,Matrix!$C$2:$C$119,F$4)</f>
        <v>0</v>
      </c>
      <c r="G5" s="3" t="n">
        <f aca="false">COUNTIFS(Matrix!$E$2:$E$119,$A5,Matrix!$C$2:$C$119,G$4)</f>
        <v>0</v>
      </c>
      <c r="H5" s="3" t="n">
        <f aca="false">COUNTIFS(Matrix!$E$2:$E$119,$A5,Matrix!$C$2:$C$119,H$4)</f>
        <v>0</v>
      </c>
    </row>
    <row r="6" customFormat="false" ht="15" hidden="false" customHeight="false" outlineLevel="0" collapsed="false">
      <c r="A6" s="6" t="s">
        <v>11</v>
      </c>
      <c r="B6" s="3" t="n">
        <f aca="false">COUNTIF(Matrix!$E$2:$E$119,$A6)</f>
        <v>38</v>
      </c>
      <c r="C6" s="3" t="n">
        <f aca="false">COUNTIFS(Matrix!$E$2:$E$119,$A6,Matrix!$C$2:$C$119,C$4)</f>
        <v>27</v>
      </c>
      <c r="D6" s="3" t="n">
        <f aca="false">COUNTIFS(Matrix!$E$2:$E$119,$A6,Matrix!$C$2:$C$119,D$4)</f>
        <v>6</v>
      </c>
      <c r="E6" s="3" t="n">
        <f aca="false">COUNTIFS(Matrix!$E$2:$E$119,$A6,Matrix!$C$2:$C$119,E$4)</f>
        <v>5</v>
      </c>
      <c r="F6" s="3" t="n">
        <f aca="false">COUNTIFS(Matrix!$E$2:$E$119,$A6,Matrix!$C$2:$C$119,F$4)</f>
        <v>0</v>
      </c>
      <c r="G6" s="3" t="n">
        <f aca="false">COUNTIFS(Matrix!$E$2:$E$119,$A6,Matrix!$C$2:$C$119,G$4)</f>
        <v>0</v>
      </c>
      <c r="H6" s="3" t="n">
        <f aca="false">COUNTIFS(Matrix!$E$2:$E$119,$A6,Matrix!$C$2:$C$119,H$4)</f>
        <v>0</v>
      </c>
    </row>
    <row r="7" customFormat="false" ht="15" hidden="false" customHeight="false" outlineLevel="0" collapsed="false">
      <c r="A7" s="7" t="s">
        <v>12</v>
      </c>
      <c r="B7" s="3" t="n">
        <f aca="false">COUNTIF(Matrix!$E$2:$E$119,$A7)</f>
        <v>47</v>
      </c>
      <c r="C7" s="3" t="n">
        <f aca="false">COUNTIFS(Matrix!$E$2:$E$119,$A7,Matrix!$C$2:$C$119,C$4)</f>
        <v>19</v>
      </c>
      <c r="D7" s="3" t="n">
        <f aca="false">COUNTIFS(Matrix!$E$2:$E$119,$A7,Matrix!$C$2:$C$119,D$4)</f>
        <v>14</v>
      </c>
      <c r="E7" s="3" t="n">
        <f aca="false">COUNTIFS(Matrix!$E$2:$E$119,$A7,Matrix!$C$2:$C$119,E$4)</f>
        <v>5</v>
      </c>
      <c r="F7" s="3" t="n">
        <f aca="false">COUNTIFS(Matrix!$E$2:$E$119,$A7,Matrix!$C$2:$C$119,F$4)</f>
        <v>5</v>
      </c>
      <c r="G7" s="3" t="n">
        <f aca="false">COUNTIFS(Matrix!$E$2:$E$119,$A7,Matrix!$C$2:$C$119,G$4)</f>
        <v>3</v>
      </c>
      <c r="H7" s="3" t="n">
        <f aca="false">COUNTIFS(Matrix!$E$2:$E$119,$A7,Matrix!$C$2:$C$119,H$4)</f>
        <v>1</v>
      </c>
    </row>
    <row r="8" customFormat="false" ht="15" hidden="false" customHeight="false" outlineLevel="0" collapsed="false">
      <c r="A8" s="8" t="s">
        <v>13</v>
      </c>
      <c r="B8" s="3" t="n">
        <f aca="false">COUNTIF(Matrix!$E$2:$E$119,$A8)</f>
        <v>10</v>
      </c>
      <c r="C8" s="3" t="n">
        <f aca="false">COUNTIFS(Matrix!$E$2:$E$119,$A8,Matrix!$C$2:$C$119,C$4)</f>
        <v>5</v>
      </c>
      <c r="D8" s="3" t="n">
        <f aca="false">COUNTIFS(Matrix!$E$2:$E$119,$A8,Matrix!$C$2:$C$119,D$4)</f>
        <v>0</v>
      </c>
      <c r="E8" s="3" t="n">
        <f aca="false">COUNTIFS(Matrix!$E$2:$E$119,$A8,Matrix!$C$2:$C$119,E$4)</f>
        <v>4</v>
      </c>
      <c r="F8" s="3" t="n">
        <f aca="false">COUNTIFS(Matrix!$E$2:$E$119,$A8,Matrix!$C$2:$C$119,F$4)</f>
        <v>0</v>
      </c>
      <c r="G8" s="3" t="n">
        <f aca="false">COUNTIFS(Matrix!$E$2:$E$119,$A8,Matrix!$C$2:$C$119,G$4)</f>
        <v>0</v>
      </c>
      <c r="H8" s="3" t="n">
        <f aca="false">COUNTIFS(Matrix!$E$2:$E$119,$A8,Matrix!$C$2:$C$119,H$4)</f>
        <v>1</v>
      </c>
    </row>
    <row r="9" customFormat="false" ht="15" hidden="false" customHeight="false" outlineLevel="0" collapsed="false">
      <c r="A9" s="9" t="s">
        <v>14</v>
      </c>
      <c r="B9" s="3" t="n">
        <f aca="false">COUNTIF(Matrix!$E$2:$E$119,$A9)</f>
        <v>6</v>
      </c>
      <c r="C9" s="3" t="n">
        <f aca="false">COUNTIFS(Matrix!$E$2:$E$119,$A9,Matrix!$C$2:$C$119,C$4)</f>
        <v>3</v>
      </c>
      <c r="D9" s="3" t="n">
        <f aca="false">COUNTIFS(Matrix!$E$2:$E$119,$A9,Matrix!$C$2:$C$119,D$4)</f>
        <v>2</v>
      </c>
      <c r="E9" s="3" t="n">
        <f aca="false">COUNTIFS(Matrix!$E$2:$E$119,$A9,Matrix!$C$2:$C$119,E$4)</f>
        <v>0</v>
      </c>
      <c r="F9" s="3" t="n">
        <f aca="false">COUNTIFS(Matrix!$E$2:$E$119,$A9,Matrix!$C$2:$C$119,F$4)</f>
        <v>0</v>
      </c>
      <c r="G9" s="3" t="n">
        <f aca="false">COUNTIFS(Matrix!$E$2:$E$119,$A9,Matrix!$C$2:$C$119,G$4)</f>
        <v>0</v>
      </c>
      <c r="H9" s="3" t="n">
        <f aca="false">COUNTIFS(Matrix!$E$2:$E$119,$A9,Matrix!$C$2:$C$119,H$4)</f>
        <v>1</v>
      </c>
    </row>
    <row r="10" customFormat="false" ht="15" hidden="false" customHeight="false" outlineLevel="0" collapsed="false">
      <c r="A10" s="3" t="s">
        <v>15</v>
      </c>
      <c r="B10" s="3" t="n">
        <f aca="false">SUM(B5:B9)</f>
        <v>118</v>
      </c>
      <c r="C10" s="3" t="n">
        <f aca="false">SUM(C5:C9)</f>
        <v>70</v>
      </c>
      <c r="D10" s="3" t="n">
        <f aca="false">SUM(D5:D9)</f>
        <v>22</v>
      </c>
      <c r="E10" s="3" t="n">
        <f aca="false">SUM(E5:E9)</f>
        <v>15</v>
      </c>
      <c r="F10" s="3" t="n">
        <f aca="false">SUM(F5:F9)</f>
        <v>5</v>
      </c>
      <c r="G10" s="3" t="n">
        <f aca="false">SUM(G5:G9)</f>
        <v>3</v>
      </c>
      <c r="H10" s="3" t="n">
        <f aca="false">SUM(H5:H9)</f>
        <v>3</v>
      </c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</row>
    <row r="12" customFormat="false" ht="15" hidden="false" customHeight="false" outlineLevel="0" collapsed="false">
      <c r="A12" s="10" t="s">
        <v>16</v>
      </c>
    </row>
    <row r="13" customFormat="false" ht="27.75" hidden="false" customHeight="true" outlineLevel="0" collapsed="false">
      <c r="A13" s="11" t="s">
        <v>17</v>
      </c>
      <c r="B13" s="11"/>
      <c r="C13" s="11"/>
      <c r="D13" s="11"/>
      <c r="E13" s="11"/>
      <c r="F13" s="11"/>
      <c r="G13" s="11"/>
      <c r="H13" s="11"/>
    </row>
    <row r="14" customFormat="false" ht="27.75" hidden="false" customHeight="true" outlineLevel="0" collapsed="false">
      <c r="A14" s="11" t="s">
        <v>18</v>
      </c>
      <c r="B14" s="11"/>
      <c r="C14" s="11"/>
      <c r="D14" s="11"/>
      <c r="E14" s="11"/>
      <c r="F14" s="11"/>
      <c r="G14" s="11"/>
      <c r="H14" s="11"/>
    </row>
    <row r="15" customFormat="false" ht="27.75" hidden="false" customHeight="true" outlineLevel="0" collapsed="false">
      <c r="A15" s="11" t="s">
        <v>19</v>
      </c>
      <c r="B15" s="11"/>
      <c r="C15" s="11"/>
      <c r="D15" s="11"/>
      <c r="E15" s="11"/>
      <c r="F15" s="11"/>
      <c r="G15" s="11"/>
      <c r="H15" s="11"/>
    </row>
    <row r="16" customFormat="false" ht="27.75" hidden="false" customHeight="true" outlineLevel="0" collapsed="false">
      <c r="A16" s="11" t="s">
        <v>20</v>
      </c>
      <c r="B16" s="11"/>
      <c r="C16" s="11"/>
      <c r="D16" s="11"/>
      <c r="E16" s="11"/>
      <c r="F16" s="11"/>
      <c r="G16" s="11"/>
      <c r="H16" s="11"/>
    </row>
    <row r="17" customFormat="false" ht="27.75" hidden="false" customHeight="true" outlineLevel="0" collapsed="false">
      <c r="A17" s="11" t="s">
        <v>21</v>
      </c>
      <c r="B17" s="11"/>
      <c r="C17" s="11"/>
      <c r="D17" s="11"/>
      <c r="E17" s="11"/>
      <c r="F17" s="11"/>
      <c r="G17" s="11"/>
      <c r="H17" s="11"/>
    </row>
    <row r="18" customFormat="false" ht="27.75" hidden="false" customHeight="true" outlineLevel="0" collapsed="false">
      <c r="A18" s="11" t="s">
        <v>22</v>
      </c>
      <c r="B18" s="11"/>
      <c r="C18" s="11"/>
      <c r="D18" s="11"/>
      <c r="E18" s="11"/>
      <c r="F18" s="11"/>
      <c r="G18" s="11"/>
      <c r="H18" s="11"/>
    </row>
    <row r="19" customFormat="false" ht="30" hidden="false" customHeight="true" outlineLevel="0" collapsed="false">
      <c r="A19" s="12" t="s">
        <v>23</v>
      </c>
      <c r="B19" s="12"/>
      <c r="C19" s="12"/>
      <c r="D19" s="12"/>
      <c r="E19" s="12"/>
      <c r="F19" s="12"/>
      <c r="G19" s="12"/>
      <c r="H19" s="12"/>
    </row>
    <row r="20" customFormat="false" ht="42" hidden="false" customHeight="true" outlineLevel="0" collapsed="false">
      <c r="A20" s="13" t="s">
        <v>24</v>
      </c>
      <c r="B20" s="13"/>
      <c r="C20" s="13"/>
      <c r="D20" s="13"/>
      <c r="E20" s="13"/>
      <c r="F20" s="13"/>
      <c r="G20" s="13"/>
      <c r="H20" s="13"/>
    </row>
    <row r="21" customFormat="false" ht="15" hidden="false" customHeight="false" outlineLevel="0" collapsed="false">
      <c r="A21" s="10" t="s">
        <v>25</v>
      </c>
    </row>
    <row r="22" customFormat="false" ht="15" hidden="false" customHeight="false" outlineLevel="0" collapsed="false">
      <c r="A22" s="4" t="s">
        <v>26</v>
      </c>
      <c r="D22" s="4" t="s">
        <v>27</v>
      </c>
      <c r="E22" s="4" t="s">
        <v>28</v>
      </c>
    </row>
    <row r="23" customFormat="false" ht="15" hidden="false" customHeight="false" outlineLevel="0" collapsed="false">
      <c r="A23" s="14" t="s">
        <v>29</v>
      </c>
      <c r="B23" s="14"/>
      <c r="C23" s="14"/>
      <c r="D23" s="15" t="s">
        <v>30</v>
      </c>
      <c r="E23" s="14" t="s">
        <v>31</v>
      </c>
      <c r="F23" s="14"/>
      <c r="G23" s="14"/>
      <c r="H23" s="14"/>
    </row>
    <row r="24" customFormat="false" ht="15" hidden="false" customHeight="false" outlineLevel="0" collapsed="false">
      <c r="A24" s="14" t="s">
        <v>32</v>
      </c>
      <c r="B24" s="14"/>
      <c r="C24" s="14"/>
      <c r="D24" s="15" t="s">
        <v>30</v>
      </c>
      <c r="E24" s="14" t="s">
        <v>33</v>
      </c>
      <c r="F24" s="14"/>
      <c r="G24" s="14"/>
      <c r="H24" s="14"/>
    </row>
    <row r="25" customFormat="false" ht="15" hidden="false" customHeight="false" outlineLevel="0" collapsed="false">
      <c r="A25" s="14" t="s">
        <v>34</v>
      </c>
      <c r="B25" s="14"/>
      <c r="C25" s="14"/>
      <c r="D25" s="16" t="s">
        <v>35</v>
      </c>
      <c r="E25" s="14" t="s">
        <v>36</v>
      </c>
      <c r="F25" s="14"/>
      <c r="G25" s="14"/>
      <c r="H25" s="14"/>
    </row>
    <row r="26" customFormat="false" ht="15" hidden="false" customHeight="false" outlineLevel="0" collapsed="false">
      <c r="A26" s="14" t="s">
        <v>37</v>
      </c>
      <c r="B26" s="14"/>
      <c r="C26" s="14"/>
      <c r="D26" s="15" t="s">
        <v>30</v>
      </c>
      <c r="E26" s="14" t="s">
        <v>38</v>
      </c>
      <c r="F26" s="14"/>
      <c r="G26" s="14"/>
      <c r="H26" s="14"/>
    </row>
    <row r="27" customFormat="false" ht="15" hidden="false" customHeight="false" outlineLevel="0" collapsed="false">
      <c r="A27" s="14" t="s">
        <v>39</v>
      </c>
      <c r="B27" s="14"/>
      <c r="C27" s="14"/>
      <c r="D27" s="15" t="s">
        <v>30</v>
      </c>
      <c r="E27" s="14" t="s">
        <v>40</v>
      </c>
      <c r="F27" s="14"/>
      <c r="G27" s="14"/>
      <c r="H27" s="14"/>
    </row>
    <row r="28" customFormat="false" ht="15" hidden="false" customHeight="false" outlineLevel="0" collapsed="false">
      <c r="A28" s="14" t="s">
        <v>41</v>
      </c>
      <c r="B28" s="14"/>
      <c r="C28" s="14"/>
      <c r="D28" s="16" t="s">
        <v>35</v>
      </c>
      <c r="E28" s="14" t="s">
        <v>42</v>
      </c>
      <c r="F28" s="14"/>
      <c r="G28" s="14"/>
      <c r="H28" s="14"/>
    </row>
    <row r="29" customFormat="false" ht="15" hidden="false" customHeight="false" outlineLevel="0" collapsed="false">
      <c r="A29" s="14" t="s">
        <v>43</v>
      </c>
      <c r="B29" s="14"/>
      <c r="C29" s="14"/>
      <c r="D29" s="16" t="s">
        <v>35</v>
      </c>
      <c r="E29" s="14" t="s">
        <v>44</v>
      </c>
      <c r="F29" s="14"/>
      <c r="G29" s="14"/>
      <c r="H29" s="14"/>
    </row>
    <row r="30" customFormat="false" ht="15" hidden="false" customHeight="false" outlineLevel="0" collapsed="false">
      <c r="A30" s="14" t="s">
        <v>45</v>
      </c>
      <c r="B30" s="14"/>
      <c r="C30" s="14"/>
      <c r="D30" s="16" t="s">
        <v>35</v>
      </c>
      <c r="E30" s="14" t="s">
        <v>46</v>
      </c>
      <c r="F30" s="14"/>
      <c r="G30" s="14"/>
      <c r="H30" s="14"/>
    </row>
    <row r="31" customFormat="false" ht="15" hidden="false" customHeight="false" outlineLevel="0" collapsed="false">
      <c r="A31" s="14" t="s">
        <v>47</v>
      </c>
      <c r="B31" s="14"/>
      <c r="C31" s="14"/>
      <c r="D31" s="16" t="s">
        <v>35</v>
      </c>
      <c r="E31" s="14" t="s">
        <v>12</v>
      </c>
      <c r="F31" s="14"/>
      <c r="G31" s="14"/>
      <c r="H31" s="14"/>
    </row>
    <row r="32" customFormat="false" ht="15" hidden="false" customHeight="false" outlineLevel="0" collapsed="false">
      <c r="A32" s="14" t="s">
        <v>48</v>
      </c>
      <c r="B32" s="14"/>
      <c r="C32" s="14"/>
      <c r="D32" s="15" t="s">
        <v>30</v>
      </c>
      <c r="E32" s="14" t="s">
        <v>49</v>
      </c>
      <c r="F32" s="14"/>
      <c r="G32" s="14"/>
      <c r="H32" s="14"/>
    </row>
    <row r="33" customFormat="false" ht="15" hidden="false" customHeight="false" outlineLevel="0" collapsed="false">
      <c r="A33" s="14" t="s">
        <v>50</v>
      </c>
      <c r="B33" s="14"/>
      <c r="C33" s="14"/>
      <c r="D33" s="15" t="s">
        <v>30</v>
      </c>
      <c r="E33" s="14" t="s">
        <v>51</v>
      </c>
      <c r="F33" s="14"/>
      <c r="G33" s="14"/>
      <c r="H33" s="14"/>
    </row>
    <row r="34" customFormat="false" ht="15" hidden="false" customHeight="false" outlineLevel="0" collapsed="false">
      <c r="A34" s="14" t="s">
        <v>52</v>
      </c>
      <c r="B34" s="14"/>
      <c r="C34" s="14"/>
      <c r="D34" s="15" t="s">
        <v>30</v>
      </c>
      <c r="E34" s="14" t="s">
        <v>53</v>
      </c>
      <c r="F34" s="14"/>
      <c r="G34" s="14"/>
      <c r="H34" s="14"/>
    </row>
    <row r="35" customFormat="false" ht="15" hidden="false" customHeight="false" outlineLevel="0" collapsed="false">
      <c r="A35" s="14" t="s">
        <v>54</v>
      </c>
      <c r="B35" s="14"/>
      <c r="C35" s="14"/>
      <c r="D35" s="16" t="s">
        <v>35</v>
      </c>
      <c r="E35" s="14" t="s">
        <v>55</v>
      </c>
      <c r="F35" s="14"/>
      <c r="G35" s="14"/>
      <c r="H35" s="14"/>
    </row>
  </sheetData>
  <mergeCells count="34">
    <mergeCell ref="A13:H13"/>
    <mergeCell ref="A14:H14"/>
    <mergeCell ref="A15:H15"/>
    <mergeCell ref="A16:H16"/>
    <mergeCell ref="A17:H17"/>
    <mergeCell ref="A18:H18"/>
    <mergeCell ref="A19:H19"/>
    <mergeCell ref="A20:H20"/>
    <mergeCell ref="A23:C23"/>
    <mergeCell ref="E23:H23"/>
    <mergeCell ref="A24:C24"/>
    <mergeCell ref="E24:H24"/>
    <mergeCell ref="A25:C25"/>
    <mergeCell ref="E25:H25"/>
    <mergeCell ref="A26:C26"/>
    <mergeCell ref="E26:H26"/>
    <mergeCell ref="A27:C27"/>
    <mergeCell ref="E27:H27"/>
    <mergeCell ref="A28:C28"/>
    <mergeCell ref="E28:H28"/>
    <mergeCell ref="A29:C29"/>
    <mergeCell ref="E29:H29"/>
    <mergeCell ref="A30:C30"/>
    <mergeCell ref="E30:H30"/>
    <mergeCell ref="A31:C31"/>
    <mergeCell ref="E31:H31"/>
    <mergeCell ref="A32:C32"/>
    <mergeCell ref="E32:H32"/>
    <mergeCell ref="A33:C33"/>
    <mergeCell ref="E33:H33"/>
    <mergeCell ref="A34:C34"/>
    <mergeCell ref="E34:H34"/>
    <mergeCell ref="A35:C35"/>
    <mergeCell ref="E35:H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4" min="4" style="0" width="48"/>
    <col collapsed="false" customWidth="true" hidden="false" outlineLevel="0" max="5" min="5" style="0" width="24"/>
    <col collapsed="false" customWidth="true" hidden="false" outlineLevel="0" max="6" min="6" style="0" width="38"/>
    <col collapsed="false" customWidth="true" hidden="false" outlineLevel="0" max="7" min="7" style="0" width="16"/>
    <col collapsed="false" customWidth="true" hidden="false" outlineLevel="0" max="8" min="8" style="0" width="24"/>
    <col collapsed="false" customWidth="true" hidden="false" outlineLevel="0" max="9" min="9" style="0" width="16"/>
    <col collapsed="false" customWidth="true" hidden="false" outlineLevel="0" max="10" min="10" style="0" width="32"/>
    <col collapsed="false" customWidth="true" hidden="false" outlineLevel="0" max="12" min="11" style="0" width="9"/>
  </cols>
  <sheetData>
    <row r="1" customFormat="false" ht="35.05" hidden="false" customHeight="false" outlineLevel="0" collapsed="false">
      <c r="A1" s="17" t="s">
        <v>56</v>
      </c>
      <c r="B1" s="17" t="s">
        <v>57</v>
      </c>
      <c r="C1" s="17" t="s">
        <v>58</v>
      </c>
      <c r="D1" s="17" t="s">
        <v>59</v>
      </c>
      <c r="E1" s="17" t="s">
        <v>60</v>
      </c>
      <c r="F1" s="17" t="s">
        <v>61</v>
      </c>
      <c r="G1" s="17" t="s">
        <v>62</v>
      </c>
      <c r="H1" s="17" t="s">
        <v>63</v>
      </c>
      <c r="I1" s="17" t="s">
        <v>64</v>
      </c>
      <c r="J1" s="17" t="s">
        <v>65</v>
      </c>
      <c r="K1" s="17" t="s">
        <v>66</v>
      </c>
      <c r="L1" s="17" t="s">
        <v>67</v>
      </c>
    </row>
    <row r="2" customFormat="false" ht="189.75" hidden="false" customHeight="true" outlineLevel="0" collapsed="false">
      <c r="A2" s="18" t="s">
        <v>68</v>
      </c>
      <c r="B2" s="18" t="s">
        <v>69</v>
      </c>
      <c r="C2" s="18" t="s">
        <v>70</v>
      </c>
      <c r="D2" s="18" t="s">
        <v>71</v>
      </c>
      <c r="E2" s="18" t="s">
        <v>72</v>
      </c>
      <c r="F2" s="18" t="s">
        <v>73</v>
      </c>
      <c r="G2" s="18" t="s">
        <v>74</v>
      </c>
      <c r="H2" s="18" t="s">
        <v>75</v>
      </c>
      <c r="I2" s="18" t="s">
        <v>76</v>
      </c>
      <c r="J2" s="18" t="s">
        <v>77</v>
      </c>
      <c r="K2" s="18" t="n">
        <f aca="false">COUNTIFS(Matrix!$O$2:$O$119,A2,Matrix!$E$2:$E$119,"&lt;&gt;Done")</f>
        <v>4</v>
      </c>
      <c r="L2" s="18" t="n">
        <f aca="false">COUNTIFS(Matrix!$O$2:$O$119,A2,Matrix!$E$2:$E$119,"Done")</f>
        <v>0</v>
      </c>
    </row>
    <row r="3" customFormat="false" ht="189.75" hidden="false" customHeight="true" outlineLevel="0" collapsed="false">
      <c r="A3" s="18" t="s">
        <v>78</v>
      </c>
      <c r="B3" s="18" t="s">
        <v>79</v>
      </c>
      <c r="C3" s="18" t="s">
        <v>80</v>
      </c>
      <c r="D3" s="18" t="s">
        <v>81</v>
      </c>
      <c r="E3" s="18" t="s">
        <v>82</v>
      </c>
      <c r="F3" s="18" t="s">
        <v>83</v>
      </c>
      <c r="G3" s="18" t="s">
        <v>84</v>
      </c>
      <c r="H3" s="18" t="s">
        <v>85</v>
      </c>
      <c r="I3" s="18" t="s">
        <v>86</v>
      </c>
      <c r="J3" s="18" t="s">
        <v>87</v>
      </c>
      <c r="K3" s="18" t="n">
        <f aca="false">COUNTIFS(Matrix!$O$2:$O$119,A3,Matrix!$E$2:$E$119,"&lt;&gt;Done")</f>
        <v>25</v>
      </c>
      <c r="L3" s="18" t="n">
        <f aca="false">COUNTIFS(Matrix!$O$2:$O$119,A3,Matrix!$E$2:$E$119,"Done")</f>
        <v>0</v>
      </c>
    </row>
    <row r="4" customFormat="false" ht="189.75" hidden="false" customHeight="true" outlineLevel="0" collapsed="false">
      <c r="A4" s="18" t="s">
        <v>88</v>
      </c>
      <c r="B4" s="18" t="s">
        <v>89</v>
      </c>
      <c r="C4" s="18" t="s">
        <v>90</v>
      </c>
      <c r="D4" s="18" t="s">
        <v>91</v>
      </c>
      <c r="E4" s="18" t="s">
        <v>92</v>
      </c>
      <c r="F4" s="18" t="s">
        <v>93</v>
      </c>
      <c r="G4" s="18" t="s">
        <v>94</v>
      </c>
      <c r="H4" s="18" t="s">
        <v>95</v>
      </c>
      <c r="I4" s="18" t="s">
        <v>96</v>
      </c>
      <c r="J4" s="18" t="s">
        <v>97</v>
      </c>
      <c r="K4" s="18" t="n">
        <f aca="false">COUNTIFS(Matrix!$O$2:$O$119,A4,Matrix!$E$2:$E$119,"&lt;&gt;Done")</f>
        <v>12</v>
      </c>
      <c r="L4" s="18" t="n">
        <f aca="false">COUNTIFS(Matrix!$O$2:$O$119,A4,Matrix!$E$2:$E$119,"Done")</f>
        <v>2</v>
      </c>
    </row>
    <row r="5" customFormat="false" ht="189.75" hidden="false" customHeight="true" outlineLevel="0" collapsed="false">
      <c r="A5" s="18" t="s">
        <v>98</v>
      </c>
      <c r="B5" s="18" t="s">
        <v>99</v>
      </c>
      <c r="C5" s="18" t="s">
        <v>100</v>
      </c>
      <c r="D5" s="18" t="s">
        <v>101</v>
      </c>
      <c r="E5" s="18" t="s">
        <v>102</v>
      </c>
      <c r="F5" s="18" t="s">
        <v>103</v>
      </c>
      <c r="G5" s="18" t="s">
        <v>104</v>
      </c>
      <c r="H5" s="18" t="s">
        <v>105</v>
      </c>
      <c r="I5" s="18" t="s">
        <v>106</v>
      </c>
      <c r="J5" s="18" t="s">
        <v>107</v>
      </c>
      <c r="K5" s="18" t="n">
        <f aca="false">COUNTIFS(Matrix!$O$2:$O$119,A5,Matrix!$E$2:$E$119,"&lt;&gt;Done")</f>
        <v>18</v>
      </c>
      <c r="L5" s="18" t="n">
        <f aca="false">COUNTIFS(Matrix!$O$2:$O$119,A5,Matrix!$E$2:$E$119,"Done")</f>
        <v>3</v>
      </c>
    </row>
    <row r="6" customFormat="false" ht="189.75" hidden="false" customHeight="true" outlineLevel="0" collapsed="false">
      <c r="A6" s="18" t="s">
        <v>108</v>
      </c>
      <c r="B6" s="18" t="s">
        <v>109</v>
      </c>
      <c r="C6" s="18" t="s">
        <v>110</v>
      </c>
      <c r="D6" s="18" t="s">
        <v>111</v>
      </c>
      <c r="E6" s="18" t="s">
        <v>112</v>
      </c>
      <c r="F6" s="18" t="s">
        <v>113</v>
      </c>
      <c r="G6" s="18" t="s">
        <v>114</v>
      </c>
      <c r="H6" s="18" t="s">
        <v>115</v>
      </c>
      <c r="I6" s="18" t="s">
        <v>116</v>
      </c>
      <c r="J6" s="18" t="s">
        <v>117</v>
      </c>
      <c r="K6" s="18" t="n">
        <f aca="false">COUNTIFS(Matrix!$O$2:$O$119,A6,Matrix!$E$2:$E$119,"&lt;&gt;Done")</f>
        <v>23</v>
      </c>
      <c r="L6" s="18" t="n">
        <f aca="false">COUNTIFS(Matrix!$O$2:$O$119,A6,Matrix!$E$2:$E$119,"Done")</f>
        <v>0</v>
      </c>
    </row>
    <row r="7" customFormat="false" ht="189.75" hidden="false" customHeight="true" outlineLevel="0" collapsed="false">
      <c r="A7" s="18" t="s">
        <v>118</v>
      </c>
      <c r="B7" s="18" t="s">
        <v>119</v>
      </c>
      <c r="C7" s="18" t="s">
        <v>120</v>
      </c>
      <c r="D7" s="18" t="s">
        <v>121</v>
      </c>
      <c r="E7" s="18" t="s">
        <v>122</v>
      </c>
      <c r="F7" s="18" t="s">
        <v>123</v>
      </c>
      <c r="G7" s="18" t="s">
        <v>124</v>
      </c>
      <c r="H7" s="18" t="s">
        <v>125</v>
      </c>
      <c r="I7" s="18" t="s">
        <v>126</v>
      </c>
      <c r="J7" s="18" t="s">
        <v>127</v>
      </c>
      <c r="K7" s="18" t="n">
        <f aca="false">COUNTIFS(Matrix!$O$2:$O$119,A7,Matrix!$E$2:$E$119,"&lt;&gt;Done")</f>
        <v>9</v>
      </c>
      <c r="L7" s="18" t="n">
        <f aca="false">COUNTIFS(Matrix!$O$2:$O$119,A7,Matrix!$E$2:$E$119,"Done")</f>
        <v>1</v>
      </c>
    </row>
    <row r="8" customFormat="false" ht="189.75" hidden="false" customHeight="true" outlineLevel="0" collapsed="false">
      <c r="A8" s="18" t="s">
        <v>128</v>
      </c>
      <c r="B8" s="18" t="s">
        <v>129</v>
      </c>
      <c r="C8" s="18" t="s">
        <v>130</v>
      </c>
      <c r="D8" s="18" t="s">
        <v>131</v>
      </c>
      <c r="E8" s="18" t="s">
        <v>132</v>
      </c>
      <c r="F8" s="18" t="s">
        <v>133</v>
      </c>
      <c r="G8" s="18" t="s">
        <v>134</v>
      </c>
      <c r="H8" s="18" t="s">
        <v>135</v>
      </c>
      <c r="I8" s="18" t="s">
        <v>126</v>
      </c>
      <c r="J8" s="18" t="s">
        <v>136</v>
      </c>
      <c r="K8" s="18" t="n">
        <f aca="false">COUNTIFS(Matrix!$O$2:$O$119,A8,Matrix!$E$2:$E$119,"&lt;&gt;Done")</f>
        <v>5</v>
      </c>
      <c r="L8" s="18" t="n">
        <f aca="false">COUNTIFS(Matrix!$O$2:$O$119,A8,Matrix!$E$2:$E$119,"Done")</f>
        <v>0</v>
      </c>
    </row>
    <row r="9" customFormat="false" ht="189.75" hidden="false" customHeight="true" outlineLevel="0" collapsed="false">
      <c r="A9" s="18" t="s">
        <v>137</v>
      </c>
      <c r="B9" s="18" t="s">
        <v>138</v>
      </c>
      <c r="C9" s="18" t="s">
        <v>139</v>
      </c>
      <c r="D9" s="18" t="s">
        <v>140</v>
      </c>
      <c r="E9" s="18" t="s">
        <v>141</v>
      </c>
      <c r="F9" s="18" t="s">
        <v>142</v>
      </c>
      <c r="G9" s="18" t="s">
        <v>143</v>
      </c>
      <c r="H9" s="18" t="s">
        <v>144</v>
      </c>
      <c r="I9" s="18" t="s">
        <v>145</v>
      </c>
      <c r="J9" s="18" t="s">
        <v>146</v>
      </c>
      <c r="K9" s="18" t="n">
        <f aca="false">COUNTIFS(Matrix!$O$2:$O$119,A9,Matrix!$E$2:$E$119,"&lt;&gt;Done")</f>
        <v>5</v>
      </c>
      <c r="L9" s="18" t="n">
        <f aca="false">COUNTIFS(Matrix!$O$2:$O$119,A9,Matrix!$E$2:$E$119,"Done")</f>
        <v>0</v>
      </c>
    </row>
    <row r="11" customFormat="false" ht="15" hidden="false" customHeight="false" outlineLevel="0" collapsed="false">
      <c r="A11" s="10" t="s">
        <v>147</v>
      </c>
    </row>
    <row r="12" customFormat="false" ht="15" hidden="false" customHeight="false" outlineLevel="0" collapsed="false">
      <c r="A12" s="14" t="s">
        <v>148</v>
      </c>
      <c r="B12" s="14"/>
      <c r="C12" s="14"/>
      <c r="D12" s="14"/>
      <c r="E12" s="14"/>
      <c r="F12" s="14"/>
      <c r="G12" s="14"/>
      <c r="H12" s="14"/>
    </row>
    <row r="13" customFormat="false" ht="15" hidden="false" customHeight="false" outlineLevel="0" collapsed="false">
      <c r="A13" s="14" t="s">
        <v>149</v>
      </c>
      <c r="B13" s="14"/>
      <c r="C13" s="14"/>
      <c r="D13" s="14"/>
      <c r="E13" s="14"/>
      <c r="F13" s="14"/>
      <c r="G13" s="14"/>
      <c r="H13" s="14"/>
    </row>
    <row r="14" customFormat="false" ht="15" hidden="false" customHeight="false" outlineLevel="0" collapsed="false">
      <c r="A14" s="14" t="s">
        <v>150</v>
      </c>
      <c r="B14" s="14"/>
      <c r="C14" s="14"/>
      <c r="D14" s="14"/>
      <c r="E14" s="14"/>
      <c r="F14" s="14"/>
      <c r="G14" s="14"/>
      <c r="H14" s="14"/>
    </row>
    <row r="15" customFormat="false" ht="15" hidden="false" customHeight="false" outlineLevel="0" collapsed="false">
      <c r="A15" s="14" t="s">
        <v>151</v>
      </c>
      <c r="B15" s="14"/>
      <c r="C15" s="14"/>
      <c r="D15" s="14"/>
      <c r="E15" s="14"/>
      <c r="F15" s="14"/>
      <c r="G15" s="14"/>
      <c r="H15" s="14"/>
    </row>
    <row r="16" customFormat="false" ht="15" hidden="false" customHeight="false" outlineLevel="0" collapsed="false">
      <c r="A16" s="14" t="s">
        <v>152</v>
      </c>
      <c r="B16" s="14"/>
      <c r="C16" s="14"/>
      <c r="D16" s="14"/>
      <c r="E16" s="14"/>
      <c r="F16" s="14"/>
      <c r="G16" s="14"/>
      <c r="H16" s="14"/>
    </row>
  </sheetData>
  <autoFilter ref="A1:L9"/>
  <mergeCells count="5">
    <mergeCell ref="A12:H12"/>
    <mergeCell ref="A13:H13"/>
    <mergeCell ref="A14:H14"/>
    <mergeCell ref="A15:H15"/>
    <mergeCell ref="A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52"/>
    <col collapsed="false" customWidth="true" hidden="false" outlineLevel="0" max="5" min="5" style="0" width="48"/>
    <col collapsed="false" customWidth="true" hidden="false" outlineLevel="0" max="6" min="6" style="0" width="40"/>
    <col collapsed="false" customWidth="true" hidden="false" outlineLevel="0" max="7" min="7" style="0" width="52"/>
    <col collapsed="false" customWidth="true" hidden="false" outlineLevel="0" max="8" min="8" style="0" width="16"/>
    <col collapsed="false" customWidth="true" hidden="false" outlineLevel="0" max="9" min="9" style="0" width="34"/>
  </cols>
  <sheetData>
    <row r="1" customFormat="false" ht="23.85" hidden="false" customHeight="false" outlineLevel="0" collapsed="false">
      <c r="A1" s="17" t="s">
        <v>153</v>
      </c>
      <c r="B1" s="17" t="s">
        <v>154</v>
      </c>
      <c r="C1" s="17" t="s">
        <v>26</v>
      </c>
      <c r="D1" s="17" t="s">
        <v>155</v>
      </c>
      <c r="E1" s="17" t="s">
        <v>156</v>
      </c>
      <c r="F1" s="17" t="s">
        <v>157</v>
      </c>
      <c r="G1" s="17" t="s">
        <v>158</v>
      </c>
      <c r="H1" s="17" t="s">
        <v>159</v>
      </c>
      <c r="I1" s="19" t="s">
        <v>160</v>
      </c>
    </row>
    <row r="2" customFormat="false" ht="43.25" hidden="false" customHeight="false" outlineLevel="0" collapsed="false">
      <c r="A2" s="18" t="s">
        <v>161</v>
      </c>
      <c r="B2" s="20" t="s">
        <v>162</v>
      </c>
      <c r="C2" s="18" t="s">
        <v>163</v>
      </c>
      <c r="D2" s="18" t="s">
        <v>164</v>
      </c>
      <c r="E2" s="18" t="s">
        <v>165</v>
      </c>
      <c r="F2" s="18" t="s">
        <v>166</v>
      </c>
      <c r="G2" s="18" t="s">
        <v>167</v>
      </c>
      <c r="H2" s="18" t="s">
        <v>168</v>
      </c>
      <c r="I2" s="21" t="s">
        <v>169</v>
      </c>
    </row>
    <row r="3" customFormat="false" ht="22.35" hidden="false" customHeight="false" outlineLevel="0" collapsed="false">
      <c r="A3" s="18" t="s">
        <v>170</v>
      </c>
      <c r="B3" s="20" t="s">
        <v>162</v>
      </c>
      <c r="C3" s="18" t="s">
        <v>171</v>
      </c>
      <c r="D3" s="18" t="s">
        <v>172</v>
      </c>
      <c r="E3" s="18" t="s">
        <v>173</v>
      </c>
      <c r="F3" s="18" t="s">
        <v>174</v>
      </c>
      <c r="G3" s="18" t="s">
        <v>175</v>
      </c>
      <c r="H3" s="18" t="s">
        <v>176</v>
      </c>
      <c r="I3" s="21" t="s">
        <v>177</v>
      </c>
    </row>
    <row r="4" customFormat="false" ht="22.35" hidden="false" customHeight="false" outlineLevel="0" collapsed="false">
      <c r="A4" s="18" t="s">
        <v>178</v>
      </c>
      <c r="B4" s="20" t="s">
        <v>162</v>
      </c>
      <c r="C4" s="18" t="s">
        <v>179</v>
      </c>
      <c r="D4" s="18" t="s">
        <v>180</v>
      </c>
      <c r="E4" s="18" t="s">
        <v>181</v>
      </c>
      <c r="F4" s="18" t="s">
        <v>182</v>
      </c>
      <c r="G4" s="18" t="s">
        <v>183</v>
      </c>
      <c r="H4" s="18" t="s">
        <v>184</v>
      </c>
      <c r="I4" s="21" t="s">
        <v>78</v>
      </c>
    </row>
    <row r="5" customFormat="false" ht="22.35" hidden="false" customHeight="false" outlineLevel="0" collapsed="false">
      <c r="A5" s="18" t="s">
        <v>185</v>
      </c>
      <c r="B5" s="22" t="s">
        <v>186</v>
      </c>
      <c r="C5" s="18" t="s">
        <v>187</v>
      </c>
      <c r="D5" s="18" t="s">
        <v>188</v>
      </c>
      <c r="E5" s="18" t="s">
        <v>189</v>
      </c>
      <c r="F5" s="18" t="s">
        <v>190</v>
      </c>
      <c r="G5" s="18" t="s">
        <v>191</v>
      </c>
      <c r="H5" s="18" t="s">
        <v>192</v>
      </c>
      <c r="I5" s="21" t="s">
        <v>193</v>
      </c>
    </row>
    <row r="6" customFormat="false" ht="22.35" hidden="false" customHeight="false" outlineLevel="0" collapsed="false">
      <c r="A6" s="18" t="s">
        <v>194</v>
      </c>
      <c r="B6" s="22" t="s">
        <v>186</v>
      </c>
      <c r="C6" s="18" t="s">
        <v>195</v>
      </c>
      <c r="D6" s="18" t="s">
        <v>196</v>
      </c>
      <c r="E6" s="18" t="s">
        <v>197</v>
      </c>
      <c r="F6" s="18" t="s">
        <v>198</v>
      </c>
      <c r="G6" s="18" t="s">
        <v>199</v>
      </c>
      <c r="H6" s="18" t="s">
        <v>184</v>
      </c>
      <c r="I6" s="21" t="s">
        <v>78</v>
      </c>
    </row>
    <row r="7" customFormat="false" ht="32.8" hidden="false" customHeight="false" outlineLevel="0" collapsed="false">
      <c r="A7" s="18" t="s">
        <v>200</v>
      </c>
      <c r="B7" s="22" t="s">
        <v>186</v>
      </c>
      <c r="C7" s="18" t="s">
        <v>201</v>
      </c>
      <c r="D7" s="18" t="s">
        <v>202</v>
      </c>
      <c r="E7" s="18" t="s">
        <v>203</v>
      </c>
      <c r="F7" s="18" t="s">
        <v>204</v>
      </c>
      <c r="G7" s="18" t="s">
        <v>205</v>
      </c>
      <c r="H7" s="18" t="s">
        <v>206</v>
      </c>
      <c r="I7" s="21" t="s">
        <v>78</v>
      </c>
    </row>
    <row r="8" customFormat="false" ht="32.8" hidden="false" customHeight="false" outlineLevel="0" collapsed="false">
      <c r="A8" s="18" t="s">
        <v>207</v>
      </c>
      <c r="B8" s="22" t="s">
        <v>186</v>
      </c>
      <c r="C8" s="18" t="s">
        <v>208</v>
      </c>
      <c r="D8" s="18" t="s">
        <v>209</v>
      </c>
      <c r="E8" s="18" t="s">
        <v>210</v>
      </c>
      <c r="F8" s="18" t="s">
        <v>211</v>
      </c>
      <c r="G8" s="18" t="s">
        <v>212</v>
      </c>
      <c r="H8" s="18" t="s">
        <v>176</v>
      </c>
      <c r="I8" s="21" t="s">
        <v>213</v>
      </c>
    </row>
    <row r="9" customFormat="false" ht="22.35" hidden="false" customHeight="false" outlineLevel="0" collapsed="false">
      <c r="A9" s="18" t="s">
        <v>214</v>
      </c>
      <c r="B9" s="22" t="s">
        <v>186</v>
      </c>
      <c r="C9" s="18" t="s">
        <v>215</v>
      </c>
      <c r="D9" s="18" t="s">
        <v>216</v>
      </c>
      <c r="E9" s="18" t="s">
        <v>217</v>
      </c>
      <c r="F9" s="18" t="s">
        <v>218</v>
      </c>
      <c r="G9" s="18" t="s">
        <v>219</v>
      </c>
      <c r="H9" s="18" t="s">
        <v>176</v>
      </c>
      <c r="I9" s="21" t="s">
        <v>220</v>
      </c>
    </row>
    <row r="10" customFormat="false" ht="22.35" hidden="false" customHeight="false" outlineLevel="0" collapsed="false">
      <c r="A10" s="18" t="s">
        <v>221</v>
      </c>
      <c r="B10" s="22" t="s">
        <v>186</v>
      </c>
      <c r="C10" s="18" t="s">
        <v>222</v>
      </c>
      <c r="D10" s="18" t="s">
        <v>223</v>
      </c>
      <c r="E10" s="18" t="s">
        <v>224</v>
      </c>
      <c r="F10" s="18" t="s">
        <v>225</v>
      </c>
      <c r="G10" s="18" t="s">
        <v>226</v>
      </c>
      <c r="H10" s="18" t="s">
        <v>184</v>
      </c>
      <c r="I10" s="21" t="s">
        <v>78</v>
      </c>
    </row>
    <row r="11" customFormat="false" ht="22.35" hidden="false" customHeight="false" outlineLevel="0" collapsed="false">
      <c r="A11" s="18" t="s">
        <v>227</v>
      </c>
      <c r="B11" s="22" t="s">
        <v>186</v>
      </c>
      <c r="C11" s="18" t="s">
        <v>195</v>
      </c>
      <c r="D11" s="18" t="s">
        <v>228</v>
      </c>
      <c r="E11" s="18" t="s">
        <v>229</v>
      </c>
      <c r="F11" s="18" t="s">
        <v>230</v>
      </c>
      <c r="G11" s="18" t="s">
        <v>231</v>
      </c>
      <c r="H11" s="18" t="s">
        <v>184</v>
      </c>
      <c r="I11" s="21" t="s">
        <v>98</v>
      </c>
    </row>
    <row r="12" customFormat="false" ht="15" hidden="false" customHeight="false" outlineLevel="0" collapsed="false">
      <c r="A12" s="18" t="s">
        <v>232</v>
      </c>
      <c r="B12" s="22" t="s">
        <v>186</v>
      </c>
      <c r="C12" s="18" t="s">
        <v>208</v>
      </c>
      <c r="D12" s="18" t="s">
        <v>233</v>
      </c>
      <c r="E12" s="18" t="s">
        <v>234</v>
      </c>
      <c r="F12" s="18" t="s">
        <v>235</v>
      </c>
      <c r="G12" s="18" t="s">
        <v>236</v>
      </c>
      <c r="H12" s="18" t="s">
        <v>237</v>
      </c>
      <c r="I12" s="21" t="s">
        <v>108</v>
      </c>
    </row>
    <row r="13" customFormat="false" ht="22.35" hidden="false" customHeight="false" outlineLevel="0" collapsed="false">
      <c r="A13" s="18" t="s">
        <v>238</v>
      </c>
      <c r="B13" s="23" t="s">
        <v>239</v>
      </c>
      <c r="C13" s="18" t="s">
        <v>240</v>
      </c>
      <c r="D13" s="18" t="s">
        <v>241</v>
      </c>
      <c r="E13" s="18" t="s">
        <v>242</v>
      </c>
      <c r="F13" s="18" t="s">
        <v>243</v>
      </c>
      <c r="G13" s="18" t="s">
        <v>244</v>
      </c>
      <c r="H13" s="18" t="s">
        <v>184</v>
      </c>
      <c r="I13" s="21" t="s">
        <v>78</v>
      </c>
    </row>
    <row r="14" customFormat="false" ht="22.35" hidden="false" customHeight="false" outlineLevel="0" collapsed="false">
      <c r="A14" s="18" t="s">
        <v>245</v>
      </c>
      <c r="B14" s="23" t="s">
        <v>239</v>
      </c>
      <c r="C14" s="18" t="s">
        <v>179</v>
      </c>
      <c r="D14" s="18" t="s">
        <v>246</v>
      </c>
      <c r="E14" s="18" t="s">
        <v>247</v>
      </c>
      <c r="F14" s="18" t="s">
        <v>248</v>
      </c>
      <c r="G14" s="18" t="s">
        <v>249</v>
      </c>
      <c r="H14" s="18" t="s">
        <v>184</v>
      </c>
      <c r="I14" s="21" t="s">
        <v>78</v>
      </c>
    </row>
    <row r="15" customFormat="false" ht="22.35" hidden="false" customHeight="false" outlineLevel="0" collapsed="false">
      <c r="A15" s="18" t="s">
        <v>250</v>
      </c>
      <c r="B15" s="23" t="s">
        <v>239</v>
      </c>
      <c r="C15" s="18" t="s">
        <v>195</v>
      </c>
      <c r="D15" s="18" t="s">
        <v>251</v>
      </c>
      <c r="E15" s="18" t="s">
        <v>252</v>
      </c>
      <c r="F15" s="18" t="s">
        <v>253</v>
      </c>
      <c r="G15" s="18" t="s">
        <v>254</v>
      </c>
      <c r="H15" s="18" t="s">
        <v>184</v>
      </c>
      <c r="I15" s="21" t="s">
        <v>78</v>
      </c>
    </row>
    <row r="16" customFormat="false" ht="22.35" hidden="false" customHeight="false" outlineLevel="0" collapsed="false">
      <c r="A16" s="18" t="s">
        <v>255</v>
      </c>
      <c r="B16" s="22" t="s">
        <v>186</v>
      </c>
      <c r="C16" s="18" t="s">
        <v>256</v>
      </c>
      <c r="D16" s="18" t="s">
        <v>257</v>
      </c>
      <c r="E16" s="18" t="s">
        <v>258</v>
      </c>
      <c r="F16" s="18" t="s">
        <v>259</v>
      </c>
      <c r="G16" s="18" t="s">
        <v>260</v>
      </c>
      <c r="H16" s="18" t="s">
        <v>176</v>
      </c>
      <c r="I16" s="21" t="s">
        <v>68</v>
      </c>
    </row>
  </sheetData>
  <autoFilter ref="A1:H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17" t="s">
        <v>261</v>
      </c>
      <c r="B1" s="17" t="s">
        <v>262</v>
      </c>
      <c r="C1" s="17" t="s">
        <v>263</v>
      </c>
      <c r="D1" s="17" t="s">
        <v>264</v>
      </c>
    </row>
    <row r="2" customFormat="false" ht="15" hidden="false" customHeight="false" outlineLevel="0" collapsed="false">
      <c r="A2" s="18" t="s">
        <v>265</v>
      </c>
      <c r="B2" s="18" t="s">
        <v>266</v>
      </c>
      <c r="C2" s="18" t="s">
        <v>267</v>
      </c>
      <c r="D2" s="24" t="s">
        <v>268</v>
      </c>
    </row>
    <row r="3" customFormat="false" ht="15" hidden="false" customHeight="false" outlineLevel="0" collapsed="false">
      <c r="A3" s="18" t="s">
        <v>269</v>
      </c>
      <c r="B3" s="18" t="s">
        <v>270</v>
      </c>
      <c r="C3" s="18" t="s">
        <v>271</v>
      </c>
      <c r="D3" s="24" t="s">
        <v>272</v>
      </c>
    </row>
    <row r="4" customFormat="false" ht="15" hidden="false" customHeight="false" outlineLevel="0" collapsed="false">
      <c r="A4" s="18" t="s">
        <v>273</v>
      </c>
      <c r="B4" s="18" t="s">
        <v>274</v>
      </c>
      <c r="C4" s="18" t="s">
        <v>275</v>
      </c>
      <c r="D4" s="24" t="s">
        <v>276</v>
      </c>
    </row>
    <row r="5" customFormat="false" ht="15" hidden="false" customHeight="false" outlineLevel="0" collapsed="false">
      <c r="A5" s="18" t="s">
        <v>277</v>
      </c>
      <c r="B5" s="18" t="s">
        <v>278</v>
      </c>
      <c r="C5" s="18" t="s">
        <v>279</v>
      </c>
      <c r="D5" s="25" t="s">
        <v>280</v>
      </c>
    </row>
    <row r="6" customFormat="false" ht="15" hidden="false" customHeight="false" outlineLevel="0" collapsed="false">
      <c r="A6" s="18" t="s">
        <v>281</v>
      </c>
      <c r="B6" s="18" t="s">
        <v>282</v>
      </c>
      <c r="C6" s="18" t="s">
        <v>279</v>
      </c>
      <c r="D6" s="25" t="s">
        <v>283</v>
      </c>
    </row>
    <row r="7" customFormat="false" ht="15" hidden="false" customHeight="false" outlineLevel="0" collapsed="false">
      <c r="A7" s="18" t="s">
        <v>284</v>
      </c>
      <c r="B7" s="18" t="s">
        <v>285</v>
      </c>
      <c r="C7" s="18" t="s">
        <v>286</v>
      </c>
      <c r="D7" s="26" t="s">
        <v>287</v>
      </c>
    </row>
    <row r="8" customFormat="false" ht="15" hidden="false" customHeight="false" outlineLevel="0" collapsed="false">
      <c r="A8" s="18" t="s">
        <v>288</v>
      </c>
      <c r="B8" s="18" t="s">
        <v>289</v>
      </c>
      <c r="C8" s="18" t="s">
        <v>290</v>
      </c>
      <c r="D8" s="25" t="s">
        <v>291</v>
      </c>
    </row>
    <row r="9" customFormat="false" ht="15" hidden="false" customHeight="false" outlineLevel="0" collapsed="false">
      <c r="A9" s="18" t="s">
        <v>292</v>
      </c>
      <c r="B9" s="18" t="s">
        <v>293</v>
      </c>
      <c r="C9" s="18" t="s">
        <v>294</v>
      </c>
      <c r="D9" s="26" t="s">
        <v>295</v>
      </c>
    </row>
    <row r="10" customFormat="false" ht="15" hidden="false" customHeight="false" outlineLevel="0" collapsed="false">
      <c r="A10" s="18" t="s">
        <v>296</v>
      </c>
      <c r="B10" s="18" t="s">
        <v>297</v>
      </c>
      <c r="C10" s="18" t="s">
        <v>294</v>
      </c>
      <c r="D10" s="25" t="s">
        <v>298</v>
      </c>
    </row>
    <row r="11" customFormat="false" ht="15" hidden="false" customHeight="false" outlineLevel="0" collapsed="false">
      <c r="A11" s="18" t="s">
        <v>299</v>
      </c>
      <c r="B11" s="18" t="s">
        <v>300</v>
      </c>
      <c r="C11" s="18" t="s">
        <v>301</v>
      </c>
      <c r="D11" s="26" t="s">
        <v>302</v>
      </c>
    </row>
    <row r="12" customFormat="false" ht="15" hidden="false" customHeight="false" outlineLevel="0" collapsed="false">
      <c r="A12" s="18" t="s">
        <v>303</v>
      </c>
      <c r="B12" s="18" t="s">
        <v>304</v>
      </c>
      <c r="C12" s="18" t="s">
        <v>305</v>
      </c>
      <c r="D12" s="25" t="s">
        <v>306</v>
      </c>
    </row>
    <row r="13" customFormat="false" ht="15" hidden="false" customHeight="false" outlineLevel="0" collapsed="false">
      <c r="A13" s="18" t="s">
        <v>307</v>
      </c>
      <c r="B13" s="18" t="s">
        <v>308</v>
      </c>
      <c r="C13" s="18" t="s">
        <v>309</v>
      </c>
      <c r="D13" s="25" t="s">
        <v>310</v>
      </c>
    </row>
    <row r="14" customFormat="false" ht="15" hidden="false" customHeight="false" outlineLevel="0" collapsed="false">
      <c r="A14" s="18" t="s">
        <v>311</v>
      </c>
      <c r="B14" s="18" t="s">
        <v>312</v>
      </c>
      <c r="C14" s="18" t="s">
        <v>313</v>
      </c>
      <c r="D14" s="26" t="s">
        <v>314</v>
      </c>
    </row>
    <row r="15" customFormat="false" ht="15" hidden="false" customHeight="false" outlineLevel="0" collapsed="false">
      <c r="A15" s="18" t="s">
        <v>315</v>
      </c>
      <c r="B15" s="18" t="s">
        <v>316</v>
      </c>
      <c r="C15" s="18" t="s">
        <v>317</v>
      </c>
      <c r="D15" s="26" t="s">
        <v>318</v>
      </c>
    </row>
    <row r="16" customFormat="false" ht="15" hidden="false" customHeight="false" outlineLevel="0" collapsed="false">
      <c r="A16" s="18" t="s">
        <v>319</v>
      </c>
      <c r="B16" s="18" t="s">
        <v>320</v>
      </c>
      <c r="C16" s="18" t="s">
        <v>321</v>
      </c>
      <c r="D16" s="24" t="s">
        <v>322</v>
      </c>
    </row>
    <row r="17" customFormat="false" ht="15" hidden="false" customHeight="false" outlineLevel="0" collapsed="false">
      <c r="A17" s="18" t="s">
        <v>319</v>
      </c>
      <c r="B17" s="18" t="s">
        <v>323</v>
      </c>
      <c r="C17" s="18" t="s">
        <v>324</v>
      </c>
      <c r="D17" s="26" t="s">
        <v>325</v>
      </c>
    </row>
    <row r="18" customFormat="false" ht="15" hidden="false" customHeight="false" outlineLevel="0" collapsed="false">
      <c r="A18" s="18" t="s">
        <v>319</v>
      </c>
      <c r="B18" s="18" t="s">
        <v>326</v>
      </c>
      <c r="C18" s="18" t="s">
        <v>327</v>
      </c>
      <c r="D18" s="26" t="s">
        <v>328</v>
      </c>
    </row>
    <row r="19" customFormat="false" ht="15" hidden="false" customHeight="false" outlineLevel="0" collapsed="false">
      <c r="A19" s="18" t="s">
        <v>329</v>
      </c>
      <c r="B19" s="18" t="s">
        <v>330</v>
      </c>
      <c r="C19" s="18" t="s">
        <v>331</v>
      </c>
      <c r="D19" s="26" t="s">
        <v>332</v>
      </c>
    </row>
    <row r="20" customFormat="false" ht="15" hidden="false" customHeight="false" outlineLevel="0" collapsed="false">
      <c r="A20" s="18" t="s">
        <v>333</v>
      </c>
      <c r="B20" s="18" t="s">
        <v>334</v>
      </c>
      <c r="C20" s="18" t="s">
        <v>335</v>
      </c>
      <c r="D20" s="24" t="s">
        <v>336</v>
      </c>
    </row>
    <row r="21" customFormat="false" ht="15" hidden="false" customHeight="false" outlineLevel="0" collapsed="false">
      <c r="A21" s="18" t="s">
        <v>337</v>
      </c>
      <c r="B21" s="18" t="s">
        <v>334</v>
      </c>
      <c r="C21" s="18" t="s">
        <v>335</v>
      </c>
      <c r="D21" s="24" t="s">
        <v>338</v>
      </c>
    </row>
    <row r="22" customFormat="false" ht="15" hidden="false" customHeight="false" outlineLevel="0" collapsed="false">
      <c r="A22" s="18" t="s">
        <v>339</v>
      </c>
      <c r="B22" s="18" t="s">
        <v>340</v>
      </c>
      <c r="C22" s="18" t="s">
        <v>341</v>
      </c>
      <c r="D22" s="24" t="s">
        <v>342</v>
      </c>
    </row>
    <row r="23" customFormat="false" ht="15" hidden="false" customHeight="false" outlineLevel="0" collapsed="false">
      <c r="A23" s="18" t="s">
        <v>343</v>
      </c>
      <c r="B23" s="18" t="s">
        <v>344</v>
      </c>
      <c r="C23" s="18" t="s">
        <v>176</v>
      </c>
      <c r="D23" s="24" t="s">
        <v>268</v>
      </c>
    </row>
    <row r="24" customFormat="false" ht="15" hidden="false" customHeight="false" outlineLevel="0" collapsed="false">
      <c r="A24" s="18" t="s">
        <v>345</v>
      </c>
      <c r="B24" s="18" t="s">
        <v>346</v>
      </c>
      <c r="C24" s="18" t="s">
        <v>176</v>
      </c>
      <c r="D24" s="24" t="s">
        <v>347</v>
      </c>
    </row>
    <row r="25" customFormat="false" ht="15" hidden="false" customHeight="false" outlineLevel="0" collapsed="false">
      <c r="A25" s="18" t="s">
        <v>348</v>
      </c>
      <c r="B25" s="18" t="s">
        <v>349</v>
      </c>
      <c r="C25" s="18" t="s">
        <v>350</v>
      </c>
      <c r="D25" s="24" t="s">
        <v>268</v>
      </c>
    </row>
    <row r="26" customFormat="false" ht="15" hidden="false" customHeight="false" outlineLevel="0" collapsed="false">
      <c r="A26" s="18" t="s">
        <v>351</v>
      </c>
      <c r="B26" s="18" t="s">
        <v>352</v>
      </c>
      <c r="C26" s="18" t="s">
        <v>353</v>
      </c>
      <c r="D26" s="24" t="s">
        <v>268</v>
      </c>
    </row>
    <row r="27" customFormat="false" ht="15" hidden="false" customHeight="false" outlineLevel="0" collapsed="false">
      <c r="A27" s="18" t="s">
        <v>354</v>
      </c>
      <c r="B27" s="18" t="s">
        <v>355</v>
      </c>
      <c r="C27" s="18" t="s">
        <v>350</v>
      </c>
      <c r="D27" s="24" t="s">
        <v>268</v>
      </c>
    </row>
    <row r="28" customFormat="false" ht="15" hidden="false" customHeight="false" outlineLevel="0" collapsed="false">
      <c r="A28" s="18" t="s">
        <v>356</v>
      </c>
      <c r="B28" s="18" t="s">
        <v>357</v>
      </c>
      <c r="C28" s="18" t="s">
        <v>358</v>
      </c>
      <c r="D28" s="24" t="s">
        <v>359</v>
      </c>
    </row>
    <row r="29" customFormat="false" ht="15" hidden="false" customHeight="false" outlineLevel="0" collapsed="false">
      <c r="A29" s="18" t="s">
        <v>360</v>
      </c>
      <c r="B29" s="18" t="s">
        <v>361</v>
      </c>
      <c r="C29" s="18" t="s">
        <v>362</v>
      </c>
      <c r="D29" s="26" t="s">
        <v>363</v>
      </c>
    </row>
    <row r="30" customFormat="false" ht="15" hidden="false" customHeight="false" outlineLevel="0" collapsed="false">
      <c r="A30" s="18" t="s">
        <v>364</v>
      </c>
      <c r="B30" s="18" t="s">
        <v>365</v>
      </c>
      <c r="C30" s="18" t="s">
        <v>366</v>
      </c>
      <c r="D30" s="26" t="s">
        <v>367</v>
      </c>
    </row>
    <row r="31" customFormat="false" ht="15" hidden="false" customHeight="false" outlineLevel="0" collapsed="false">
      <c r="A31" s="18" t="s">
        <v>368</v>
      </c>
      <c r="B31" s="18" t="s">
        <v>369</v>
      </c>
      <c r="C31" s="18" t="s">
        <v>279</v>
      </c>
      <c r="D31" s="25" t="s">
        <v>370</v>
      </c>
    </row>
    <row r="32" customFormat="false" ht="15" hidden="false" customHeight="false" outlineLevel="0" collapsed="false">
      <c r="A32" s="18" t="s">
        <v>371</v>
      </c>
      <c r="B32" s="18" t="s">
        <v>372</v>
      </c>
      <c r="C32" s="18" t="s">
        <v>324</v>
      </c>
      <c r="D32" s="25" t="s">
        <v>373</v>
      </c>
    </row>
  </sheetData>
  <autoFilter ref="A1:D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1"/>
    <col collapsed="false" customWidth="true" hidden="false" outlineLevel="0" max="4" min="4" style="0" width="42"/>
    <col collapsed="false" customWidth="true" hidden="false" outlineLevel="0" max="5" min="5" style="0" width="13"/>
    <col collapsed="false" customWidth="true" hidden="false" outlineLevel="0" max="6" min="6" style="0" width="44"/>
    <col collapsed="false" customWidth="true" hidden="false" outlineLevel="0" max="7" min="7" style="0" width="40"/>
    <col collapsed="false" customWidth="true" hidden="false" outlineLevel="0" max="8" min="8" style="0" width="30"/>
    <col collapsed="false" customWidth="true" hidden="false" outlineLevel="0" max="9" min="9" style="0" width="11"/>
    <col collapsed="false" customWidth="true" hidden="false" outlineLevel="0" max="10" min="10" style="0" width="16"/>
    <col collapsed="false" customWidth="true" hidden="false" outlineLevel="0" max="12" min="11" style="0" width="9"/>
    <col collapsed="false" customWidth="true" hidden="false" outlineLevel="0" max="13" min="13" style="0" width="22"/>
    <col collapsed="false" customWidth="true" hidden="false" outlineLevel="0" max="14" min="14" style="0" width="26"/>
    <col collapsed="false" customWidth="true" hidden="false" outlineLevel="0" max="15" min="15" style="0" width="30"/>
  </cols>
  <sheetData>
    <row r="1" customFormat="false" ht="35.05" hidden="false" customHeight="false" outlineLevel="0" collapsed="false">
      <c r="A1" s="17" t="s">
        <v>374</v>
      </c>
      <c r="B1" s="17" t="s">
        <v>375</v>
      </c>
      <c r="C1" s="17" t="s">
        <v>56</v>
      </c>
      <c r="D1" s="17" t="s">
        <v>376</v>
      </c>
      <c r="E1" s="17" t="s">
        <v>2</v>
      </c>
      <c r="F1" s="17" t="s">
        <v>377</v>
      </c>
      <c r="G1" s="17" t="s">
        <v>378</v>
      </c>
      <c r="H1" s="17" t="s">
        <v>379</v>
      </c>
      <c r="I1" s="17" t="s">
        <v>380</v>
      </c>
      <c r="J1" s="17" t="s">
        <v>381</v>
      </c>
      <c r="K1" s="17" t="s">
        <v>382</v>
      </c>
      <c r="L1" s="17" t="s">
        <v>383</v>
      </c>
      <c r="M1" s="17" t="s">
        <v>384</v>
      </c>
      <c r="N1" s="17" t="s">
        <v>385</v>
      </c>
      <c r="O1" s="19" t="s">
        <v>160</v>
      </c>
    </row>
    <row r="2" customFormat="false" ht="32.8" hidden="false" customHeight="false" outlineLevel="0" collapsed="false">
      <c r="A2" s="18" t="s">
        <v>386</v>
      </c>
      <c r="B2" s="18" t="s">
        <v>387</v>
      </c>
      <c r="C2" s="18" t="s">
        <v>4</v>
      </c>
      <c r="D2" s="18" t="s">
        <v>388</v>
      </c>
      <c r="E2" s="27" t="s">
        <v>10</v>
      </c>
      <c r="F2" s="18" t="s">
        <v>389</v>
      </c>
      <c r="G2" s="18" t="s">
        <v>390</v>
      </c>
      <c r="H2" s="18" t="s">
        <v>391</v>
      </c>
      <c r="I2" s="18" t="s">
        <v>176</v>
      </c>
      <c r="J2" s="18" t="s">
        <v>392</v>
      </c>
      <c r="K2" s="18" t="s">
        <v>176</v>
      </c>
      <c r="L2" s="18" t="s">
        <v>176</v>
      </c>
      <c r="M2" s="18" t="s">
        <v>393</v>
      </c>
      <c r="N2" s="18"/>
      <c r="O2" s="21" t="s">
        <v>394</v>
      </c>
    </row>
    <row r="3" customFormat="false" ht="22.35" hidden="false" customHeight="false" outlineLevel="0" collapsed="false">
      <c r="A3" s="18" t="s">
        <v>395</v>
      </c>
      <c r="B3" s="18" t="s">
        <v>387</v>
      </c>
      <c r="C3" s="18" t="s">
        <v>4</v>
      </c>
      <c r="D3" s="18" t="s">
        <v>396</v>
      </c>
      <c r="E3" s="27" t="s">
        <v>10</v>
      </c>
      <c r="F3" s="18" t="s">
        <v>397</v>
      </c>
      <c r="G3" s="18" t="s">
        <v>398</v>
      </c>
      <c r="H3" s="18" t="s">
        <v>399</v>
      </c>
      <c r="I3" s="18" t="s">
        <v>176</v>
      </c>
      <c r="J3" s="18" t="s">
        <v>392</v>
      </c>
      <c r="K3" s="18" t="s">
        <v>176</v>
      </c>
      <c r="L3" s="18" t="s">
        <v>176</v>
      </c>
      <c r="M3" s="18" t="s">
        <v>13</v>
      </c>
      <c r="N3" s="18" t="s">
        <v>400</v>
      </c>
      <c r="O3" s="21" t="s">
        <v>394</v>
      </c>
    </row>
    <row r="4" customFormat="false" ht="22.35" hidden="false" customHeight="false" outlineLevel="0" collapsed="false">
      <c r="A4" s="18" t="s">
        <v>401</v>
      </c>
      <c r="B4" s="18" t="s">
        <v>387</v>
      </c>
      <c r="C4" s="18" t="s">
        <v>4</v>
      </c>
      <c r="D4" s="18" t="s">
        <v>402</v>
      </c>
      <c r="E4" s="20" t="s">
        <v>12</v>
      </c>
      <c r="F4" s="18" t="s">
        <v>403</v>
      </c>
      <c r="G4" s="18" t="s">
        <v>404</v>
      </c>
      <c r="H4" s="18" t="s">
        <v>74</v>
      </c>
      <c r="I4" s="18" t="s">
        <v>184</v>
      </c>
      <c r="J4" s="18" t="s">
        <v>184</v>
      </c>
      <c r="K4" s="18" t="s">
        <v>184</v>
      </c>
      <c r="L4" s="18" t="s">
        <v>184</v>
      </c>
      <c r="M4" s="18" t="s">
        <v>184</v>
      </c>
      <c r="N4" s="18" t="s">
        <v>405</v>
      </c>
      <c r="O4" s="21" t="s">
        <v>78</v>
      </c>
    </row>
    <row r="5" customFormat="false" ht="22.35" hidden="false" customHeight="false" outlineLevel="0" collapsed="false">
      <c r="A5" s="18" t="s">
        <v>406</v>
      </c>
      <c r="B5" s="18" t="s">
        <v>387</v>
      </c>
      <c r="C5" s="18" t="s">
        <v>4</v>
      </c>
      <c r="D5" s="18" t="s">
        <v>407</v>
      </c>
      <c r="E5" s="23" t="s">
        <v>13</v>
      </c>
      <c r="F5" s="18" t="s">
        <v>408</v>
      </c>
      <c r="G5" s="18" t="s">
        <v>409</v>
      </c>
      <c r="H5" s="18" t="s">
        <v>410</v>
      </c>
      <c r="I5" s="18" t="s">
        <v>13</v>
      </c>
      <c r="J5" s="18" t="s">
        <v>13</v>
      </c>
      <c r="K5" s="18" t="s">
        <v>176</v>
      </c>
      <c r="L5" s="18" t="s">
        <v>176</v>
      </c>
      <c r="M5" s="18" t="s">
        <v>184</v>
      </c>
      <c r="N5" s="18"/>
      <c r="O5" s="21" t="s">
        <v>78</v>
      </c>
    </row>
    <row r="6" customFormat="false" ht="22.35" hidden="false" customHeight="false" outlineLevel="0" collapsed="false">
      <c r="A6" s="18" t="s">
        <v>411</v>
      </c>
      <c r="B6" s="18" t="s">
        <v>387</v>
      </c>
      <c r="C6" s="18" t="s">
        <v>4</v>
      </c>
      <c r="D6" s="18" t="s">
        <v>412</v>
      </c>
      <c r="E6" s="27" t="s">
        <v>10</v>
      </c>
      <c r="F6" s="18" t="s">
        <v>413</v>
      </c>
      <c r="G6" s="18" t="s">
        <v>398</v>
      </c>
      <c r="H6" s="18" t="s">
        <v>414</v>
      </c>
      <c r="I6" s="18" t="s">
        <v>176</v>
      </c>
      <c r="J6" s="18" t="s">
        <v>392</v>
      </c>
      <c r="K6" s="18" t="s">
        <v>176</v>
      </c>
      <c r="L6" s="18" t="s">
        <v>176</v>
      </c>
      <c r="M6" s="18" t="s">
        <v>13</v>
      </c>
      <c r="N6" s="18"/>
      <c r="O6" s="21" t="s">
        <v>394</v>
      </c>
    </row>
    <row r="7" customFormat="false" ht="22.35" hidden="false" customHeight="false" outlineLevel="0" collapsed="false">
      <c r="A7" s="18" t="s">
        <v>415</v>
      </c>
      <c r="B7" s="18" t="s">
        <v>416</v>
      </c>
      <c r="C7" s="18" t="s">
        <v>4</v>
      </c>
      <c r="D7" s="18" t="s">
        <v>417</v>
      </c>
      <c r="E7" s="27" t="s">
        <v>10</v>
      </c>
      <c r="F7" s="18" t="s">
        <v>418</v>
      </c>
      <c r="G7" s="18" t="s">
        <v>419</v>
      </c>
      <c r="H7" s="18" t="s">
        <v>420</v>
      </c>
      <c r="I7" s="18" t="s">
        <v>176</v>
      </c>
      <c r="J7" s="18" t="s">
        <v>392</v>
      </c>
      <c r="K7" s="18" t="s">
        <v>176</v>
      </c>
      <c r="L7" s="18" t="s">
        <v>176</v>
      </c>
      <c r="M7" s="18" t="s">
        <v>421</v>
      </c>
      <c r="N7" s="18"/>
      <c r="O7" s="21" t="s">
        <v>394</v>
      </c>
    </row>
    <row r="8" customFormat="false" ht="22.35" hidden="false" customHeight="false" outlineLevel="0" collapsed="false">
      <c r="A8" s="18" t="s">
        <v>422</v>
      </c>
      <c r="B8" s="18" t="s">
        <v>416</v>
      </c>
      <c r="C8" s="18" t="s">
        <v>4</v>
      </c>
      <c r="D8" s="18" t="s">
        <v>423</v>
      </c>
      <c r="E8" s="27" t="s">
        <v>10</v>
      </c>
      <c r="F8" s="18" t="s">
        <v>424</v>
      </c>
      <c r="G8" s="18" t="s">
        <v>398</v>
      </c>
      <c r="H8" s="18" t="s">
        <v>425</v>
      </c>
      <c r="I8" s="18" t="s">
        <v>176</v>
      </c>
      <c r="J8" s="18" t="s">
        <v>392</v>
      </c>
      <c r="K8" s="18" t="s">
        <v>176</v>
      </c>
      <c r="L8" s="18" t="s">
        <v>176</v>
      </c>
      <c r="M8" s="18" t="s">
        <v>11</v>
      </c>
      <c r="N8" s="18"/>
      <c r="O8" s="21" t="s">
        <v>394</v>
      </c>
    </row>
    <row r="9" customFormat="false" ht="22.35" hidden="false" customHeight="false" outlineLevel="0" collapsed="false">
      <c r="A9" s="18" t="s">
        <v>426</v>
      </c>
      <c r="B9" s="18" t="s">
        <v>416</v>
      </c>
      <c r="C9" s="18" t="s">
        <v>4</v>
      </c>
      <c r="D9" s="18" t="s">
        <v>427</v>
      </c>
      <c r="E9" s="22" t="s">
        <v>11</v>
      </c>
      <c r="F9" s="18" t="s">
        <v>428</v>
      </c>
      <c r="G9" s="18" t="s">
        <v>429</v>
      </c>
      <c r="H9" s="18" t="s">
        <v>430</v>
      </c>
      <c r="I9" s="18" t="s">
        <v>11</v>
      </c>
      <c r="J9" s="18" t="s">
        <v>11</v>
      </c>
      <c r="K9" s="18" t="s">
        <v>176</v>
      </c>
      <c r="L9" s="18" t="s">
        <v>176</v>
      </c>
      <c r="M9" s="18" t="s">
        <v>184</v>
      </c>
      <c r="N9" s="18"/>
      <c r="O9" s="21" t="s">
        <v>78</v>
      </c>
    </row>
    <row r="10" customFormat="false" ht="32.8" hidden="false" customHeight="false" outlineLevel="0" collapsed="false">
      <c r="A10" s="18" t="s">
        <v>431</v>
      </c>
      <c r="B10" s="18" t="s">
        <v>416</v>
      </c>
      <c r="C10" s="18" t="s">
        <v>4</v>
      </c>
      <c r="D10" s="18" t="s">
        <v>432</v>
      </c>
      <c r="E10" s="22" t="s">
        <v>11</v>
      </c>
      <c r="F10" s="18" t="s">
        <v>433</v>
      </c>
      <c r="G10" s="18" t="s">
        <v>434</v>
      </c>
      <c r="H10" s="18" t="s">
        <v>425</v>
      </c>
      <c r="I10" s="18" t="s">
        <v>176</v>
      </c>
      <c r="J10" s="18" t="s">
        <v>392</v>
      </c>
      <c r="K10" s="18" t="s">
        <v>176</v>
      </c>
      <c r="L10" s="18" t="s">
        <v>176</v>
      </c>
      <c r="M10" s="18" t="s">
        <v>435</v>
      </c>
      <c r="N10" s="18" t="s">
        <v>436</v>
      </c>
      <c r="O10" s="21" t="s">
        <v>78</v>
      </c>
    </row>
    <row r="11" customFormat="false" ht="32.8" hidden="false" customHeight="false" outlineLevel="0" collapsed="false">
      <c r="A11" s="18" t="s">
        <v>437</v>
      </c>
      <c r="B11" s="18" t="s">
        <v>416</v>
      </c>
      <c r="C11" s="18" t="s">
        <v>4</v>
      </c>
      <c r="D11" s="18" t="s">
        <v>438</v>
      </c>
      <c r="E11" s="27" t="s">
        <v>10</v>
      </c>
      <c r="F11" s="18" t="s">
        <v>439</v>
      </c>
      <c r="G11" s="18" t="s">
        <v>74</v>
      </c>
      <c r="H11" s="18" t="s">
        <v>440</v>
      </c>
      <c r="I11" s="18" t="s">
        <v>176</v>
      </c>
      <c r="J11" s="18" t="s">
        <v>441</v>
      </c>
      <c r="K11" s="18" t="s">
        <v>176</v>
      </c>
      <c r="L11" s="18" t="s">
        <v>176</v>
      </c>
      <c r="M11" s="18" t="s">
        <v>442</v>
      </c>
      <c r="N11" s="18"/>
      <c r="O11" s="21" t="s">
        <v>394</v>
      </c>
    </row>
    <row r="12" customFormat="false" ht="22.35" hidden="false" customHeight="false" outlineLevel="0" collapsed="false">
      <c r="A12" s="18" t="s">
        <v>443</v>
      </c>
      <c r="B12" s="18" t="s">
        <v>444</v>
      </c>
      <c r="C12" s="18" t="s">
        <v>4</v>
      </c>
      <c r="D12" s="18" t="s">
        <v>445</v>
      </c>
      <c r="E12" s="22" t="s">
        <v>11</v>
      </c>
      <c r="F12" s="18" t="s">
        <v>446</v>
      </c>
      <c r="G12" s="18" t="s">
        <v>447</v>
      </c>
      <c r="H12" s="18" t="s">
        <v>448</v>
      </c>
      <c r="I12" s="18" t="s">
        <v>11</v>
      </c>
      <c r="J12" s="18" t="s">
        <v>11</v>
      </c>
      <c r="K12" s="18" t="s">
        <v>176</v>
      </c>
      <c r="L12" s="18" t="s">
        <v>176</v>
      </c>
      <c r="M12" s="18" t="s">
        <v>449</v>
      </c>
      <c r="N12" s="18" t="s">
        <v>450</v>
      </c>
      <c r="O12" s="21" t="s">
        <v>88</v>
      </c>
    </row>
    <row r="13" customFormat="false" ht="32.8" hidden="false" customHeight="false" outlineLevel="0" collapsed="false">
      <c r="A13" s="18" t="s">
        <v>451</v>
      </c>
      <c r="B13" s="18" t="s">
        <v>444</v>
      </c>
      <c r="C13" s="18" t="s">
        <v>4</v>
      </c>
      <c r="D13" s="18" t="s">
        <v>452</v>
      </c>
      <c r="E13" s="27" t="s">
        <v>10</v>
      </c>
      <c r="F13" s="18" t="s">
        <v>453</v>
      </c>
      <c r="G13" s="18" t="s">
        <v>454</v>
      </c>
      <c r="H13" s="18" t="s">
        <v>455</v>
      </c>
      <c r="I13" s="18" t="s">
        <v>176</v>
      </c>
      <c r="J13" s="18" t="s">
        <v>184</v>
      </c>
      <c r="K13" s="18" t="s">
        <v>176</v>
      </c>
      <c r="L13" s="18" t="s">
        <v>176</v>
      </c>
      <c r="M13" s="18" t="s">
        <v>13</v>
      </c>
      <c r="N13" s="18"/>
      <c r="O13" s="21" t="s">
        <v>98</v>
      </c>
    </row>
    <row r="14" customFormat="false" ht="22.35" hidden="false" customHeight="false" outlineLevel="0" collapsed="false">
      <c r="A14" s="18" t="s">
        <v>456</v>
      </c>
      <c r="B14" s="18" t="s">
        <v>444</v>
      </c>
      <c r="C14" s="18" t="s">
        <v>4</v>
      </c>
      <c r="D14" s="18" t="s">
        <v>457</v>
      </c>
      <c r="E14" s="22" t="s">
        <v>11</v>
      </c>
      <c r="F14" s="18" t="s">
        <v>458</v>
      </c>
      <c r="G14" s="18" t="s">
        <v>459</v>
      </c>
      <c r="H14" s="18" t="s">
        <v>460</v>
      </c>
      <c r="I14" s="18" t="s">
        <v>11</v>
      </c>
      <c r="J14" s="18" t="s">
        <v>11</v>
      </c>
      <c r="K14" s="18" t="s">
        <v>176</v>
      </c>
      <c r="L14" s="18" t="s">
        <v>176</v>
      </c>
      <c r="M14" s="18" t="s">
        <v>13</v>
      </c>
      <c r="N14" s="18" t="s">
        <v>461</v>
      </c>
      <c r="O14" s="21" t="s">
        <v>88</v>
      </c>
    </row>
    <row r="15" customFormat="false" ht="22.35" hidden="false" customHeight="false" outlineLevel="0" collapsed="false">
      <c r="A15" s="18" t="s">
        <v>462</v>
      </c>
      <c r="B15" s="18" t="s">
        <v>444</v>
      </c>
      <c r="C15" s="18" t="s">
        <v>4</v>
      </c>
      <c r="D15" s="18" t="s">
        <v>463</v>
      </c>
      <c r="E15" s="22" t="s">
        <v>11</v>
      </c>
      <c r="F15" s="18" t="s">
        <v>464</v>
      </c>
      <c r="G15" s="18" t="s">
        <v>465</v>
      </c>
      <c r="H15" s="18" t="s">
        <v>414</v>
      </c>
      <c r="I15" s="18" t="s">
        <v>11</v>
      </c>
      <c r="J15" s="18" t="s">
        <v>11</v>
      </c>
      <c r="K15" s="18" t="s">
        <v>176</v>
      </c>
      <c r="L15" s="18" t="s">
        <v>176</v>
      </c>
      <c r="M15" s="18" t="s">
        <v>184</v>
      </c>
      <c r="N15" s="18"/>
      <c r="O15" s="21" t="s">
        <v>88</v>
      </c>
    </row>
    <row r="16" customFormat="false" ht="15" hidden="false" customHeight="false" outlineLevel="0" collapsed="false">
      <c r="A16" s="18" t="s">
        <v>466</v>
      </c>
      <c r="B16" s="18" t="s">
        <v>444</v>
      </c>
      <c r="C16" s="18" t="s">
        <v>6</v>
      </c>
      <c r="D16" s="18" t="s">
        <v>467</v>
      </c>
      <c r="E16" s="23" t="s">
        <v>13</v>
      </c>
      <c r="F16" s="18" t="s">
        <v>468</v>
      </c>
      <c r="G16" s="18" t="s">
        <v>469</v>
      </c>
      <c r="H16" s="18" t="s">
        <v>74</v>
      </c>
      <c r="I16" s="18" t="s">
        <v>13</v>
      </c>
      <c r="J16" s="18" t="s">
        <v>184</v>
      </c>
      <c r="K16" s="18" t="s">
        <v>176</v>
      </c>
      <c r="L16" s="18" t="s">
        <v>176</v>
      </c>
      <c r="M16" s="18" t="s">
        <v>184</v>
      </c>
      <c r="N16" s="18" t="s">
        <v>470</v>
      </c>
      <c r="O16" s="21" t="s">
        <v>118</v>
      </c>
    </row>
    <row r="17" customFormat="false" ht="22.35" hidden="false" customHeight="false" outlineLevel="0" collapsed="false">
      <c r="A17" s="18" t="s">
        <v>471</v>
      </c>
      <c r="B17" s="18" t="s">
        <v>444</v>
      </c>
      <c r="C17" s="18" t="s">
        <v>5</v>
      </c>
      <c r="D17" s="18" t="s">
        <v>472</v>
      </c>
      <c r="E17" s="20" t="s">
        <v>12</v>
      </c>
      <c r="F17" s="18" t="s">
        <v>473</v>
      </c>
      <c r="G17" s="18" t="s">
        <v>474</v>
      </c>
      <c r="H17" s="18" t="s">
        <v>74</v>
      </c>
      <c r="I17" s="18" t="s">
        <v>184</v>
      </c>
      <c r="J17" s="18" t="s">
        <v>184</v>
      </c>
      <c r="K17" s="18" t="s">
        <v>184</v>
      </c>
      <c r="L17" s="18" t="s">
        <v>184</v>
      </c>
      <c r="M17" s="18" t="s">
        <v>184</v>
      </c>
      <c r="N17" s="18" t="s">
        <v>475</v>
      </c>
      <c r="O17" s="21" t="s">
        <v>108</v>
      </c>
    </row>
    <row r="18" customFormat="false" ht="22.35" hidden="false" customHeight="false" outlineLevel="0" collapsed="false">
      <c r="A18" s="18" t="s">
        <v>476</v>
      </c>
      <c r="B18" s="18" t="s">
        <v>444</v>
      </c>
      <c r="C18" s="18" t="s">
        <v>5</v>
      </c>
      <c r="D18" s="18" t="s">
        <v>477</v>
      </c>
      <c r="E18" s="22" t="s">
        <v>11</v>
      </c>
      <c r="F18" s="18" t="s">
        <v>478</v>
      </c>
      <c r="G18" s="18" t="s">
        <v>479</v>
      </c>
      <c r="H18" s="18" t="s">
        <v>74</v>
      </c>
      <c r="I18" s="18" t="s">
        <v>11</v>
      </c>
      <c r="J18" s="18" t="s">
        <v>184</v>
      </c>
      <c r="K18" s="18" t="s">
        <v>176</v>
      </c>
      <c r="L18" s="18" t="s">
        <v>176</v>
      </c>
      <c r="M18" s="18" t="s">
        <v>13</v>
      </c>
      <c r="N18" s="18"/>
      <c r="O18" s="21" t="s">
        <v>108</v>
      </c>
    </row>
    <row r="19" customFormat="false" ht="15" hidden="false" customHeight="false" outlineLevel="0" collapsed="false">
      <c r="A19" s="18" t="s">
        <v>480</v>
      </c>
      <c r="B19" s="18" t="s">
        <v>444</v>
      </c>
      <c r="C19" s="18" t="s">
        <v>7</v>
      </c>
      <c r="D19" s="18" t="s">
        <v>481</v>
      </c>
      <c r="E19" s="20" t="s">
        <v>12</v>
      </c>
      <c r="F19" s="18" t="s">
        <v>482</v>
      </c>
      <c r="G19" s="18" t="s">
        <v>483</v>
      </c>
      <c r="H19" s="18" t="s">
        <v>74</v>
      </c>
      <c r="I19" s="18" t="s">
        <v>184</v>
      </c>
      <c r="J19" s="18" t="s">
        <v>184</v>
      </c>
      <c r="K19" s="18" t="s">
        <v>184</v>
      </c>
      <c r="L19" s="18" t="s">
        <v>184</v>
      </c>
      <c r="M19" s="18" t="s">
        <v>184</v>
      </c>
      <c r="N19" s="18" t="s">
        <v>484</v>
      </c>
      <c r="O19" s="21" t="s">
        <v>128</v>
      </c>
    </row>
    <row r="20" customFormat="false" ht="15" hidden="false" customHeight="false" outlineLevel="0" collapsed="false">
      <c r="A20" s="18" t="s">
        <v>485</v>
      </c>
      <c r="B20" s="18" t="s">
        <v>444</v>
      </c>
      <c r="C20" s="18" t="s">
        <v>8</v>
      </c>
      <c r="D20" s="18" t="s">
        <v>486</v>
      </c>
      <c r="E20" s="20" t="s">
        <v>12</v>
      </c>
      <c r="F20" s="18" t="s">
        <v>482</v>
      </c>
      <c r="G20" s="18" t="s">
        <v>483</v>
      </c>
      <c r="H20" s="18" t="s">
        <v>74</v>
      </c>
      <c r="I20" s="18" t="s">
        <v>184</v>
      </c>
      <c r="J20" s="18" t="s">
        <v>184</v>
      </c>
      <c r="K20" s="18" t="s">
        <v>184</v>
      </c>
      <c r="L20" s="18" t="s">
        <v>184</v>
      </c>
      <c r="M20" s="18" t="s">
        <v>184</v>
      </c>
      <c r="N20" s="18" t="s">
        <v>487</v>
      </c>
      <c r="O20" s="21" t="s">
        <v>137</v>
      </c>
    </row>
    <row r="21" customFormat="false" ht="32.8" hidden="false" customHeight="false" outlineLevel="0" collapsed="false">
      <c r="A21" s="18" t="s">
        <v>488</v>
      </c>
      <c r="B21" s="18" t="s">
        <v>489</v>
      </c>
      <c r="C21" s="18" t="s">
        <v>4</v>
      </c>
      <c r="D21" s="18" t="s">
        <v>490</v>
      </c>
      <c r="E21" s="22" t="s">
        <v>11</v>
      </c>
      <c r="F21" s="18" t="s">
        <v>491</v>
      </c>
      <c r="G21" s="18" t="s">
        <v>492</v>
      </c>
      <c r="H21" s="18" t="s">
        <v>74</v>
      </c>
      <c r="I21" s="18" t="s">
        <v>11</v>
      </c>
      <c r="J21" s="18" t="s">
        <v>184</v>
      </c>
      <c r="K21" s="18" t="s">
        <v>176</v>
      </c>
      <c r="L21" s="18" t="s">
        <v>176</v>
      </c>
      <c r="M21" s="18" t="s">
        <v>13</v>
      </c>
      <c r="N21" s="18"/>
      <c r="O21" s="21" t="s">
        <v>98</v>
      </c>
    </row>
    <row r="22" customFormat="false" ht="15" hidden="false" customHeight="false" outlineLevel="0" collapsed="false">
      <c r="A22" s="18" t="s">
        <v>493</v>
      </c>
      <c r="B22" s="18" t="s">
        <v>494</v>
      </c>
      <c r="C22" s="18" t="s">
        <v>4</v>
      </c>
      <c r="D22" s="18" t="s">
        <v>495</v>
      </c>
      <c r="E22" s="22" t="s">
        <v>11</v>
      </c>
      <c r="F22" s="18" t="s">
        <v>496</v>
      </c>
      <c r="G22" s="18" t="s">
        <v>497</v>
      </c>
      <c r="H22" s="18" t="s">
        <v>74</v>
      </c>
      <c r="I22" s="18" t="s">
        <v>11</v>
      </c>
      <c r="J22" s="18" t="s">
        <v>184</v>
      </c>
      <c r="K22" s="18" t="s">
        <v>176</v>
      </c>
      <c r="L22" s="18" t="s">
        <v>176</v>
      </c>
      <c r="M22" s="18" t="s">
        <v>13</v>
      </c>
      <c r="N22" s="18"/>
      <c r="O22" s="21" t="s">
        <v>98</v>
      </c>
    </row>
    <row r="23" customFormat="false" ht="22.35" hidden="false" customHeight="false" outlineLevel="0" collapsed="false">
      <c r="A23" s="18" t="s">
        <v>498</v>
      </c>
      <c r="B23" s="18" t="s">
        <v>494</v>
      </c>
      <c r="C23" s="18" t="s">
        <v>4</v>
      </c>
      <c r="D23" s="18" t="s">
        <v>499</v>
      </c>
      <c r="E23" s="20" t="s">
        <v>12</v>
      </c>
      <c r="F23" s="18" t="s">
        <v>500</v>
      </c>
      <c r="G23" s="18" t="s">
        <v>501</v>
      </c>
      <c r="H23" s="18" t="s">
        <v>74</v>
      </c>
      <c r="I23" s="18" t="s">
        <v>184</v>
      </c>
      <c r="J23" s="18" t="s">
        <v>184</v>
      </c>
      <c r="K23" s="18" t="s">
        <v>184</v>
      </c>
      <c r="L23" s="18" t="s">
        <v>184</v>
      </c>
      <c r="M23" s="18" t="s">
        <v>502</v>
      </c>
      <c r="N23" s="18"/>
      <c r="O23" s="21" t="s">
        <v>78</v>
      </c>
    </row>
    <row r="24" customFormat="false" ht="22.35" hidden="false" customHeight="false" outlineLevel="0" collapsed="false">
      <c r="A24" s="18" t="s">
        <v>503</v>
      </c>
      <c r="B24" s="18" t="s">
        <v>494</v>
      </c>
      <c r="C24" s="18" t="s">
        <v>4</v>
      </c>
      <c r="D24" s="18" t="s">
        <v>504</v>
      </c>
      <c r="E24" s="27" t="s">
        <v>10</v>
      </c>
      <c r="F24" s="18" t="s">
        <v>505</v>
      </c>
      <c r="G24" s="18" t="s">
        <v>74</v>
      </c>
      <c r="H24" s="18" t="s">
        <v>425</v>
      </c>
      <c r="I24" s="18" t="s">
        <v>176</v>
      </c>
      <c r="J24" s="18" t="s">
        <v>176</v>
      </c>
      <c r="K24" s="18" t="s">
        <v>176</v>
      </c>
      <c r="L24" s="18" t="s">
        <v>176</v>
      </c>
      <c r="M24" s="18" t="s">
        <v>176</v>
      </c>
      <c r="N24" s="18"/>
      <c r="O24" s="21" t="s">
        <v>98</v>
      </c>
    </row>
    <row r="25" customFormat="false" ht="22.35" hidden="false" customHeight="false" outlineLevel="0" collapsed="false">
      <c r="A25" s="18" t="s">
        <v>506</v>
      </c>
      <c r="B25" s="18" t="s">
        <v>494</v>
      </c>
      <c r="C25" s="18" t="s">
        <v>6</v>
      </c>
      <c r="D25" s="18" t="s">
        <v>507</v>
      </c>
      <c r="E25" s="22" t="s">
        <v>11</v>
      </c>
      <c r="F25" s="18" t="s">
        <v>508</v>
      </c>
      <c r="G25" s="18" t="s">
        <v>509</v>
      </c>
      <c r="H25" s="18" t="s">
        <v>74</v>
      </c>
      <c r="I25" s="18" t="s">
        <v>11</v>
      </c>
      <c r="J25" s="18" t="s">
        <v>184</v>
      </c>
      <c r="K25" s="18" t="s">
        <v>176</v>
      </c>
      <c r="L25" s="18" t="s">
        <v>176</v>
      </c>
      <c r="M25" s="18" t="s">
        <v>13</v>
      </c>
      <c r="N25" s="18"/>
      <c r="O25" s="21" t="s">
        <v>98</v>
      </c>
    </row>
    <row r="26" customFormat="false" ht="15" hidden="false" customHeight="false" outlineLevel="0" collapsed="false">
      <c r="A26" s="18" t="s">
        <v>510</v>
      </c>
      <c r="B26" s="18" t="s">
        <v>494</v>
      </c>
      <c r="C26" s="18" t="s">
        <v>4</v>
      </c>
      <c r="D26" s="18" t="s">
        <v>511</v>
      </c>
      <c r="E26" s="27" t="s">
        <v>10</v>
      </c>
      <c r="F26" s="18" t="s">
        <v>512</v>
      </c>
      <c r="G26" s="18" t="s">
        <v>398</v>
      </c>
      <c r="H26" s="18" t="s">
        <v>513</v>
      </c>
      <c r="I26" s="18" t="s">
        <v>176</v>
      </c>
      <c r="J26" s="18" t="s">
        <v>514</v>
      </c>
      <c r="K26" s="18" t="s">
        <v>176</v>
      </c>
      <c r="L26" s="18" t="s">
        <v>176</v>
      </c>
      <c r="M26" s="18" t="s">
        <v>13</v>
      </c>
      <c r="N26" s="18"/>
      <c r="O26" s="21" t="s">
        <v>394</v>
      </c>
    </row>
    <row r="27" customFormat="false" ht="22.35" hidden="false" customHeight="false" outlineLevel="0" collapsed="false">
      <c r="A27" s="18" t="s">
        <v>515</v>
      </c>
      <c r="B27" s="18" t="s">
        <v>516</v>
      </c>
      <c r="C27" s="18" t="s">
        <v>4</v>
      </c>
      <c r="D27" s="18" t="s">
        <v>517</v>
      </c>
      <c r="E27" s="27" t="s">
        <v>10</v>
      </c>
      <c r="F27" s="18" t="s">
        <v>518</v>
      </c>
      <c r="G27" s="18" t="s">
        <v>74</v>
      </c>
      <c r="H27" s="18" t="s">
        <v>519</v>
      </c>
      <c r="I27" s="18" t="s">
        <v>176</v>
      </c>
      <c r="J27" s="18" t="s">
        <v>514</v>
      </c>
      <c r="K27" s="18" t="s">
        <v>176</v>
      </c>
      <c r="L27" s="18" t="s">
        <v>176</v>
      </c>
      <c r="M27" s="18" t="s">
        <v>13</v>
      </c>
      <c r="N27" s="18"/>
      <c r="O27" s="21" t="s">
        <v>394</v>
      </c>
    </row>
    <row r="28" customFormat="false" ht="15" hidden="false" customHeight="false" outlineLevel="0" collapsed="false">
      <c r="A28" s="18" t="s">
        <v>520</v>
      </c>
      <c r="B28" s="18" t="s">
        <v>516</v>
      </c>
      <c r="C28" s="18" t="s">
        <v>4</v>
      </c>
      <c r="D28" s="18" t="s">
        <v>521</v>
      </c>
      <c r="E28" s="20" t="s">
        <v>12</v>
      </c>
      <c r="F28" s="18" t="s">
        <v>482</v>
      </c>
      <c r="G28" s="18" t="s">
        <v>522</v>
      </c>
      <c r="H28" s="18" t="s">
        <v>74</v>
      </c>
      <c r="I28" s="18" t="s">
        <v>184</v>
      </c>
      <c r="J28" s="18" t="s">
        <v>184</v>
      </c>
      <c r="K28" s="18" t="s">
        <v>184</v>
      </c>
      <c r="L28" s="18" t="s">
        <v>184</v>
      </c>
      <c r="M28" s="18" t="s">
        <v>184</v>
      </c>
      <c r="N28" s="18"/>
      <c r="O28" s="21" t="s">
        <v>98</v>
      </c>
    </row>
    <row r="29" customFormat="false" ht="22.35" hidden="false" customHeight="false" outlineLevel="0" collapsed="false">
      <c r="A29" s="18" t="s">
        <v>523</v>
      </c>
      <c r="B29" s="18" t="s">
        <v>516</v>
      </c>
      <c r="C29" s="18" t="s">
        <v>4</v>
      </c>
      <c r="D29" s="18" t="s">
        <v>524</v>
      </c>
      <c r="E29" s="20" t="s">
        <v>12</v>
      </c>
      <c r="F29" s="18" t="s">
        <v>525</v>
      </c>
      <c r="G29" s="18" t="s">
        <v>526</v>
      </c>
      <c r="H29" s="18" t="s">
        <v>74</v>
      </c>
      <c r="I29" s="18" t="s">
        <v>184</v>
      </c>
      <c r="J29" s="18" t="s">
        <v>184</v>
      </c>
      <c r="K29" s="18" t="s">
        <v>184</v>
      </c>
      <c r="L29" s="18" t="s">
        <v>184</v>
      </c>
      <c r="M29" s="18" t="s">
        <v>184</v>
      </c>
      <c r="N29" s="18"/>
      <c r="O29" s="21" t="s">
        <v>78</v>
      </c>
    </row>
    <row r="30" customFormat="false" ht="32.8" hidden="false" customHeight="false" outlineLevel="0" collapsed="false">
      <c r="A30" s="18" t="s">
        <v>527</v>
      </c>
      <c r="B30" s="18" t="s">
        <v>516</v>
      </c>
      <c r="C30" s="18" t="s">
        <v>4</v>
      </c>
      <c r="D30" s="18" t="s">
        <v>528</v>
      </c>
      <c r="E30" s="22" t="s">
        <v>11</v>
      </c>
      <c r="F30" s="18" t="s">
        <v>529</v>
      </c>
      <c r="G30" s="18" t="s">
        <v>530</v>
      </c>
      <c r="H30" s="18" t="s">
        <v>74</v>
      </c>
      <c r="I30" s="18" t="s">
        <v>11</v>
      </c>
      <c r="J30" s="18" t="s">
        <v>184</v>
      </c>
      <c r="K30" s="18" t="s">
        <v>176</v>
      </c>
      <c r="L30" s="18" t="s">
        <v>176</v>
      </c>
      <c r="M30" s="18" t="s">
        <v>11</v>
      </c>
      <c r="N30" s="18"/>
      <c r="O30" s="21" t="s">
        <v>78</v>
      </c>
    </row>
    <row r="31" customFormat="false" ht="22.35" hidden="false" customHeight="false" outlineLevel="0" collapsed="false">
      <c r="A31" s="18" t="s">
        <v>531</v>
      </c>
      <c r="B31" s="18" t="s">
        <v>516</v>
      </c>
      <c r="C31" s="18" t="s">
        <v>4</v>
      </c>
      <c r="D31" s="18" t="s">
        <v>532</v>
      </c>
      <c r="E31" s="22" t="s">
        <v>11</v>
      </c>
      <c r="F31" s="18" t="s">
        <v>533</v>
      </c>
      <c r="G31" s="18" t="s">
        <v>534</v>
      </c>
      <c r="H31" s="18" t="s">
        <v>535</v>
      </c>
      <c r="I31" s="18" t="s">
        <v>11</v>
      </c>
      <c r="J31" s="18" t="s">
        <v>11</v>
      </c>
      <c r="K31" s="18" t="s">
        <v>176</v>
      </c>
      <c r="L31" s="18" t="s">
        <v>176</v>
      </c>
      <c r="M31" s="18" t="s">
        <v>13</v>
      </c>
      <c r="N31" s="18"/>
      <c r="O31" s="21" t="s">
        <v>78</v>
      </c>
    </row>
    <row r="32" customFormat="false" ht="32.8" hidden="false" customHeight="false" outlineLevel="0" collapsed="false">
      <c r="A32" s="18" t="s">
        <v>536</v>
      </c>
      <c r="B32" s="18" t="s">
        <v>516</v>
      </c>
      <c r="C32" s="18" t="s">
        <v>4</v>
      </c>
      <c r="D32" s="18" t="s">
        <v>537</v>
      </c>
      <c r="E32" s="22" t="s">
        <v>11</v>
      </c>
      <c r="F32" s="18" t="s">
        <v>538</v>
      </c>
      <c r="G32" s="18" t="s">
        <v>539</v>
      </c>
      <c r="H32" s="18" t="s">
        <v>425</v>
      </c>
      <c r="I32" s="18" t="s">
        <v>11</v>
      </c>
      <c r="J32" s="18" t="s">
        <v>11</v>
      </c>
      <c r="K32" s="18" t="s">
        <v>176</v>
      </c>
      <c r="L32" s="18" t="s">
        <v>176</v>
      </c>
      <c r="M32" s="18" t="s">
        <v>540</v>
      </c>
      <c r="N32" s="18" t="s">
        <v>541</v>
      </c>
      <c r="O32" s="21" t="s">
        <v>78</v>
      </c>
    </row>
    <row r="33" customFormat="false" ht="22.35" hidden="false" customHeight="false" outlineLevel="0" collapsed="false">
      <c r="A33" s="18" t="s">
        <v>542</v>
      </c>
      <c r="B33" s="18" t="s">
        <v>543</v>
      </c>
      <c r="C33" s="18" t="s">
        <v>4</v>
      </c>
      <c r="D33" s="18" t="s">
        <v>544</v>
      </c>
      <c r="E33" s="22" t="s">
        <v>11</v>
      </c>
      <c r="F33" s="18" t="s">
        <v>545</v>
      </c>
      <c r="G33" s="18" t="s">
        <v>546</v>
      </c>
      <c r="H33" s="18" t="s">
        <v>74</v>
      </c>
      <c r="I33" s="18" t="s">
        <v>11</v>
      </c>
      <c r="J33" s="18" t="s">
        <v>184</v>
      </c>
      <c r="K33" s="18" t="s">
        <v>176</v>
      </c>
      <c r="L33" s="18" t="s">
        <v>176</v>
      </c>
      <c r="M33" s="18" t="s">
        <v>13</v>
      </c>
      <c r="N33" s="18"/>
      <c r="O33" s="21" t="s">
        <v>98</v>
      </c>
    </row>
    <row r="34" customFormat="false" ht="15" hidden="false" customHeight="false" outlineLevel="0" collapsed="false">
      <c r="A34" s="18" t="s">
        <v>547</v>
      </c>
      <c r="B34" s="18" t="s">
        <v>543</v>
      </c>
      <c r="C34" s="18" t="s">
        <v>4</v>
      </c>
      <c r="D34" s="18" t="s">
        <v>548</v>
      </c>
      <c r="E34" s="22" t="s">
        <v>11</v>
      </c>
      <c r="F34" s="18" t="s">
        <v>549</v>
      </c>
      <c r="G34" s="18" t="s">
        <v>550</v>
      </c>
      <c r="H34" s="18" t="s">
        <v>74</v>
      </c>
      <c r="I34" s="18" t="s">
        <v>11</v>
      </c>
      <c r="J34" s="18" t="s">
        <v>184</v>
      </c>
      <c r="K34" s="18" t="s">
        <v>176</v>
      </c>
      <c r="L34" s="18" t="s">
        <v>176</v>
      </c>
      <c r="M34" s="18" t="s">
        <v>13</v>
      </c>
      <c r="N34" s="18"/>
      <c r="O34" s="21" t="s">
        <v>98</v>
      </c>
    </row>
    <row r="35" customFormat="false" ht="22.35" hidden="false" customHeight="false" outlineLevel="0" collapsed="false">
      <c r="A35" s="18" t="s">
        <v>551</v>
      </c>
      <c r="B35" s="18" t="s">
        <v>543</v>
      </c>
      <c r="C35" s="18" t="s">
        <v>4</v>
      </c>
      <c r="D35" s="18" t="s">
        <v>552</v>
      </c>
      <c r="E35" s="23" t="s">
        <v>13</v>
      </c>
      <c r="F35" s="18" t="s">
        <v>553</v>
      </c>
      <c r="G35" s="18" t="s">
        <v>554</v>
      </c>
      <c r="H35" s="18" t="s">
        <v>74</v>
      </c>
      <c r="I35" s="18" t="s">
        <v>13</v>
      </c>
      <c r="J35" s="18" t="s">
        <v>184</v>
      </c>
      <c r="K35" s="18" t="s">
        <v>176</v>
      </c>
      <c r="L35" s="18" t="s">
        <v>176</v>
      </c>
      <c r="M35" s="18" t="s">
        <v>184</v>
      </c>
      <c r="N35" s="18" t="s">
        <v>555</v>
      </c>
      <c r="O35" s="21" t="s">
        <v>78</v>
      </c>
    </row>
    <row r="36" customFormat="false" ht="15" hidden="false" customHeight="false" outlineLevel="0" collapsed="false">
      <c r="A36" s="18" t="s">
        <v>556</v>
      </c>
      <c r="B36" s="18" t="s">
        <v>557</v>
      </c>
      <c r="C36" s="18" t="s">
        <v>4</v>
      </c>
      <c r="D36" s="18" t="s">
        <v>558</v>
      </c>
      <c r="E36" s="27" t="s">
        <v>10</v>
      </c>
      <c r="F36" s="18" t="s">
        <v>559</v>
      </c>
      <c r="G36" s="18" t="s">
        <v>74</v>
      </c>
      <c r="H36" s="18" t="s">
        <v>560</v>
      </c>
      <c r="I36" s="18" t="s">
        <v>176</v>
      </c>
      <c r="J36" s="18" t="s">
        <v>392</v>
      </c>
      <c r="K36" s="18" t="s">
        <v>176</v>
      </c>
      <c r="L36" s="18" t="s">
        <v>176</v>
      </c>
      <c r="M36" s="18" t="s">
        <v>561</v>
      </c>
      <c r="N36" s="18"/>
      <c r="O36" s="21" t="s">
        <v>394</v>
      </c>
    </row>
    <row r="37" customFormat="false" ht="15" hidden="false" customHeight="false" outlineLevel="0" collapsed="false">
      <c r="A37" s="18" t="s">
        <v>562</v>
      </c>
      <c r="B37" s="18" t="s">
        <v>557</v>
      </c>
      <c r="C37" s="18" t="s">
        <v>4</v>
      </c>
      <c r="D37" s="18" t="s">
        <v>563</v>
      </c>
      <c r="E37" s="27" t="s">
        <v>10</v>
      </c>
      <c r="F37" s="18" t="s">
        <v>564</v>
      </c>
      <c r="G37" s="18" t="s">
        <v>74</v>
      </c>
      <c r="H37" s="18" t="s">
        <v>565</v>
      </c>
      <c r="I37" s="18" t="s">
        <v>176</v>
      </c>
      <c r="J37" s="18" t="s">
        <v>514</v>
      </c>
      <c r="K37" s="18" t="s">
        <v>176</v>
      </c>
      <c r="L37" s="18" t="s">
        <v>176</v>
      </c>
      <c r="M37" s="18" t="s">
        <v>566</v>
      </c>
      <c r="N37" s="18"/>
      <c r="O37" s="21" t="s">
        <v>394</v>
      </c>
    </row>
    <row r="38" customFormat="false" ht="22.35" hidden="false" customHeight="false" outlineLevel="0" collapsed="false">
      <c r="A38" s="18" t="s">
        <v>567</v>
      </c>
      <c r="B38" s="18" t="s">
        <v>557</v>
      </c>
      <c r="C38" s="18" t="s">
        <v>4</v>
      </c>
      <c r="D38" s="18" t="s">
        <v>568</v>
      </c>
      <c r="E38" s="20" t="s">
        <v>12</v>
      </c>
      <c r="F38" s="18" t="s">
        <v>569</v>
      </c>
      <c r="G38" s="18" t="s">
        <v>570</v>
      </c>
      <c r="H38" s="18" t="s">
        <v>571</v>
      </c>
      <c r="I38" s="18" t="s">
        <v>176</v>
      </c>
      <c r="J38" s="18" t="s">
        <v>514</v>
      </c>
      <c r="K38" s="18" t="s">
        <v>176</v>
      </c>
      <c r="L38" s="18" t="s">
        <v>176</v>
      </c>
      <c r="M38" s="18" t="s">
        <v>572</v>
      </c>
      <c r="N38" s="18" t="s">
        <v>573</v>
      </c>
      <c r="O38" s="21" t="s">
        <v>88</v>
      </c>
    </row>
    <row r="39" customFormat="false" ht="15" hidden="false" customHeight="false" outlineLevel="0" collapsed="false">
      <c r="A39" s="18" t="s">
        <v>574</v>
      </c>
      <c r="B39" s="18" t="s">
        <v>557</v>
      </c>
      <c r="C39" s="18" t="s">
        <v>4</v>
      </c>
      <c r="D39" s="18" t="s">
        <v>575</v>
      </c>
      <c r="E39" s="27" t="s">
        <v>10</v>
      </c>
      <c r="F39" s="18" t="s">
        <v>576</v>
      </c>
      <c r="G39" s="18" t="s">
        <v>577</v>
      </c>
      <c r="H39" s="18" t="s">
        <v>578</v>
      </c>
      <c r="I39" s="18" t="s">
        <v>176</v>
      </c>
      <c r="J39" s="18" t="s">
        <v>514</v>
      </c>
      <c r="K39" s="18" t="s">
        <v>176</v>
      </c>
      <c r="L39" s="18" t="s">
        <v>176</v>
      </c>
      <c r="M39" s="18" t="s">
        <v>579</v>
      </c>
      <c r="N39" s="18"/>
      <c r="O39" s="21" t="s">
        <v>394</v>
      </c>
    </row>
    <row r="40" customFormat="false" ht="15" hidden="false" customHeight="false" outlineLevel="0" collapsed="false">
      <c r="A40" s="18" t="s">
        <v>580</v>
      </c>
      <c r="B40" s="18" t="s">
        <v>557</v>
      </c>
      <c r="C40" s="18" t="s">
        <v>4</v>
      </c>
      <c r="D40" s="18" t="s">
        <v>581</v>
      </c>
      <c r="E40" s="20" t="s">
        <v>12</v>
      </c>
      <c r="F40" s="18" t="s">
        <v>582</v>
      </c>
      <c r="G40" s="18" t="s">
        <v>583</v>
      </c>
      <c r="H40" s="18" t="s">
        <v>74</v>
      </c>
      <c r="I40" s="18" t="s">
        <v>184</v>
      </c>
      <c r="J40" s="18" t="s">
        <v>184</v>
      </c>
      <c r="K40" s="18" t="s">
        <v>184</v>
      </c>
      <c r="L40" s="18" t="s">
        <v>184</v>
      </c>
      <c r="M40" s="18" t="s">
        <v>184</v>
      </c>
      <c r="N40" s="18"/>
      <c r="O40" s="21" t="s">
        <v>98</v>
      </c>
    </row>
    <row r="41" customFormat="false" ht="15" hidden="false" customHeight="false" outlineLevel="0" collapsed="false">
      <c r="A41" s="18" t="s">
        <v>584</v>
      </c>
      <c r="B41" s="18" t="s">
        <v>557</v>
      </c>
      <c r="C41" s="18" t="s">
        <v>4</v>
      </c>
      <c r="D41" s="18" t="s">
        <v>585</v>
      </c>
      <c r="E41" s="22" t="s">
        <v>11</v>
      </c>
      <c r="F41" s="18" t="s">
        <v>586</v>
      </c>
      <c r="G41" s="18" t="s">
        <v>587</v>
      </c>
      <c r="H41" s="18" t="s">
        <v>74</v>
      </c>
      <c r="I41" s="18" t="s">
        <v>11</v>
      </c>
      <c r="J41" s="18" t="s">
        <v>184</v>
      </c>
      <c r="K41" s="18" t="s">
        <v>176</v>
      </c>
      <c r="L41" s="18" t="s">
        <v>176</v>
      </c>
      <c r="M41" s="18" t="s">
        <v>13</v>
      </c>
      <c r="N41" s="18"/>
      <c r="O41" s="21" t="s">
        <v>98</v>
      </c>
    </row>
    <row r="42" customFormat="false" ht="15" hidden="false" customHeight="false" outlineLevel="0" collapsed="false">
      <c r="A42" s="18" t="s">
        <v>588</v>
      </c>
      <c r="B42" s="18" t="s">
        <v>557</v>
      </c>
      <c r="C42" s="18" t="s">
        <v>4</v>
      </c>
      <c r="D42" s="18" t="s">
        <v>589</v>
      </c>
      <c r="E42" s="20" t="s">
        <v>12</v>
      </c>
      <c r="F42" s="18" t="s">
        <v>482</v>
      </c>
      <c r="G42" s="18" t="s">
        <v>590</v>
      </c>
      <c r="H42" s="18" t="s">
        <v>74</v>
      </c>
      <c r="I42" s="18" t="s">
        <v>184</v>
      </c>
      <c r="J42" s="18" t="s">
        <v>184</v>
      </c>
      <c r="K42" s="18" t="s">
        <v>184</v>
      </c>
      <c r="L42" s="18" t="s">
        <v>184</v>
      </c>
      <c r="M42" s="18" t="s">
        <v>184</v>
      </c>
      <c r="N42" s="18"/>
      <c r="O42" s="21" t="s">
        <v>98</v>
      </c>
    </row>
    <row r="43" customFormat="false" ht="15" hidden="false" customHeight="false" outlineLevel="0" collapsed="false">
      <c r="A43" s="18" t="s">
        <v>591</v>
      </c>
      <c r="B43" s="18" t="s">
        <v>557</v>
      </c>
      <c r="C43" s="18" t="s">
        <v>4</v>
      </c>
      <c r="D43" s="18" t="s">
        <v>592</v>
      </c>
      <c r="E43" s="22" t="s">
        <v>11</v>
      </c>
      <c r="F43" s="18" t="s">
        <v>593</v>
      </c>
      <c r="G43" s="18" t="s">
        <v>594</v>
      </c>
      <c r="H43" s="18" t="s">
        <v>74</v>
      </c>
      <c r="I43" s="18" t="s">
        <v>11</v>
      </c>
      <c r="J43" s="18" t="s">
        <v>184</v>
      </c>
      <c r="K43" s="18" t="s">
        <v>176</v>
      </c>
      <c r="L43" s="18" t="s">
        <v>176</v>
      </c>
      <c r="M43" s="18" t="s">
        <v>11</v>
      </c>
      <c r="N43" s="18"/>
      <c r="O43" s="21" t="s">
        <v>98</v>
      </c>
    </row>
    <row r="44" customFormat="false" ht="22.35" hidden="false" customHeight="false" outlineLevel="0" collapsed="false">
      <c r="A44" s="18" t="s">
        <v>595</v>
      </c>
      <c r="B44" s="18" t="s">
        <v>557</v>
      </c>
      <c r="C44" s="18" t="s">
        <v>4</v>
      </c>
      <c r="D44" s="18" t="s">
        <v>596</v>
      </c>
      <c r="E44" s="28" t="s">
        <v>14</v>
      </c>
      <c r="F44" s="18" t="s">
        <v>597</v>
      </c>
      <c r="G44" s="18" t="s">
        <v>598</v>
      </c>
      <c r="H44" s="18" t="s">
        <v>74</v>
      </c>
      <c r="I44" s="18" t="s">
        <v>176</v>
      </c>
      <c r="J44" s="18" t="s">
        <v>599</v>
      </c>
      <c r="K44" s="18" t="s">
        <v>176</v>
      </c>
      <c r="L44" s="18" t="s">
        <v>176</v>
      </c>
      <c r="M44" s="18" t="s">
        <v>599</v>
      </c>
      <c r="N44" s="18" t="s">
        <v>600</v>
      </c>
      <c r="O44" s="21" t="s">
        <v>68</v>
      </c>
    </row>
    <row r="45" customFormat="false" ht="15" hidden="false" customHeight="false" outlineLevel="0" collapsed="false">
      <c r="A45" s="18" t="s">
        <v>601</v>
      </c>
      <c r="B45" s="18" t="s">
        <v>602</v>
      </c>
      <c r="C45" s="18" t="s">
        <v>4</v>
      </c>
      <c r="D45" s="18" t="s">
        <v>603</v>
      </c>
      <c r="E45" s="28" t="s">
        <v>14</v>
      </c>
      <c r="F45" s="18" t="s">
        <v>604</v>
      </c>
      <c r="G45" s="18" t="s">
        <v>605</v>
      </c>
      <c r="H45" s="18" t="s">
        <v>74</v>
      </c>
      <c r="I45" s="18" t="s">
        <v>184</v>
      </c>
      <c r="J45" s="18" t="s">
        <v>184</v>
      </c>
      <c r="K45" s="18" t="s">
        <v>184</v>
      </c>
      <c r="L45" s="18" t="s">
        <v>184</v>
      </c>
      <c r="M45" s="18" t="s">
        <v>184</v>
      </c>
      <c r="N45" s="18" t="s">
        <v>606</v>
      </c>
      <c r="O45" s="21" t="s">
        <v>68</v>
      </c>
    </row>
    <row r="46" customFormat="false" ht="22.35" hidden="false" customHeight="false" outlineLevel="0" collapsed="false">
      <c r="A46" s="18" t="s">
        <v>607</v>
      </c>
      <c r="B46" s="18" t="s">
        <v>602</v>
      </c>
      <c r="C46" s="18" t="s">
        <v>4</v>
      </c>
      <c r="D46" s="18" t="s">
        <v>608</v>
      </c>
      <c r="E46" s="22" t="s">
        <v>11</v>
      </c>
      <c r="F46" s="18" t="s">
        <v>609</v>
      </c>
      <c r="G46" s="18" t="s">
        <v>610</v>
      </c>
      <c r="H46" s="18" t="s">
        <v>611</v>
      </c>
      <c r="I46" s="18" t="s">
        <v>11</v>
      </c>
      <c r="J46" s="18" t="s">
        <v>11</v>
      </c>
      <c r="K46" s="18" t="s">
        <v>176</v>
      </c>
      <c r="L46" s="18" t="s">
        <v>176</v>
      </c>
      <c r="M46" s="18" t="s">
        <v>11</v>
      </c>
      <c r="N46" s="18"/>
      <c r="O46" s="21" t="s">
        <v>78</v>
      </c>
    </row>
    <row r="47" customFormat="false" ht="15" hidden="false" customHeight="false" outlineLevel="0" collapsed="false">
      <c r="A47" s="18" t="s">
        <v>612</v>
      </c>
      <c r="B47" s="18" t="s">
        <v>602</v>
      </c>
      <c r="C47" s="18" t="s">
        <v>4</v>
      </c>
      <c r="D47" s="18" t="s">
        <v>613</v>
      </c>
      <c r="E47" s="20" t="s">
        <v>12</v>
      </c>
      <c r="F47" s="18" t="s">
        <v>614</v>
      </c>
      <c r="G47" s="18" t="s">
        <v>615</v>
      </c>
      <c r="H47" s="18" t="s">
        <v>74</v>
      </c>
      <c r="I47" s="18" t="s">
        <v>184</v>
      </c>
      <c r="J47" s="18" t="s">
        <v>184</v>
      </c>
      <c r="K47" s="18" t="s">
        <v>184</v>
      </c>
      <c r="L47" s="18" t="s">
        <v>184</v>
      </c>
      <c r="M47" s="18" t="s">
        <v>184</v>
      </c>
      <c r="N47" s="18"/>
      <c r="O47" s="21" t="s">
        <v>98</v>
      </c>
    </row>
    <row r="48" customFormat="false" ht="22.35" hidden="false" customHeight="false" outlineLevel="0" collapsed="false">
      <c r="A48" s="18" t="s">
        <v>616</v>
      </c>
      <c r="B48" s="18" t="s">
        <v>602</v>
      </c>
      <c r="C48" s="18" t="s">
        <v>4</v>
      </c>
      <c r="D48" s="18" t="s">
        <v>617</v>
      </c>
      <c r="E48" s="20" t="s">
        <v>12</v>
      </c>
      <c r="F48" s="18" t="s">
        <v>618</v>
      </c>
      <c r="G48" s="18" t="s">
        <v>619</v>
      </c>
      <c r="H48" s="18" t="s">
        <v>425</v>
      </c>
      <c r="I48" s="18" t="s">
        <v>11</v>
      </c>
      <c r="J48" s="18" t="s">
        <v>514</v>
      </c>
      <c r="K48" s="18" t="s">
        <v>176</v>
      </c>
      <c r="L48" s="18" t="s">
        <v>176</v>
      </c>
      <c r="M48" s="18" t="s">
        <v>325</v>
      </c>
      <c r="N48" s="18" t="s">
        <v>436</v>
      </c>
      <c r="O48" s="21" t="s">
        <v>78</v>
      </c>
    </row>
    <row r="49" customFormat="false" ht="15" hidden="false" customHeight="false" outlineLevel="0" collapsed="false">
      <c r="A49" s="18" t="s">
        <v>620</v>
      </c>
      <c r="B49" s="18" t="s">
        <v>602</v>
      </c>
      <c r="C49" s="18" t="s">
        <v>9</v>
      </c>
      <c r="D49" s="18" t="s">
        <v>621</v>
      </c>
      <c r="E49" s="23" t="s">
        <v>13</v>
      </c>
      <c r="F49" s="18" t="s">
        <v>622</v>
      </c>
      <c r="G49" s="18" t="s">
        <v>623</v>
      </c>
      <c r="H49" s="18" t="s">
        <v>74</v>
      </c>
      <c r="I49" s="18" t="s">
        <v>13</v>
      </c>
      <c r="J49" s="18" t="s">
        <v>184</v>
      </c>
      <c r="K49" s="18" t="s">
        <v>176</v>
      </c>
      <c r="L49" s="18" t="s">
        <v>176</v>
      </c>
      <c r="M49" s="18" t="s">
        <v>184</v>
      </c>
      <c r="N49" s="18"/>
      <c r="O49" s="21" t="s">
        <v>98</v>
      </c>
    </row>
    <row r="50" customFormat="false" ht="22.35" hidden="false" customHeight="false" outlineLevel="0" collapsed="false">
      <c r="A50" s="18" t="s">
        <v>624</v>
      </c>
      <c r="B50" s="18" t="s">
        <v>625</v>
      </c>
      <c r="C50" s="18" t="s">
        <v>4</v>
      </c>
      <c r="D50" s="18" t="s">
        <v>626</v>
      </c>
      <c r="E50" s="27" t="s">
        <v>10</v>
      </c>
      <c r="F50" s="18" t="s">
        <v>627</v>
      </c>
      <c r="G50" s="18" t="s">
        <v>628</v>
      </c>
      <c r="H50" s="18" t="s">
        <v>74</v>
      </c>
      <c r="I50" s="18" t="s">
        <v>176</v>
      </c>
      <c r="J50" s="18" t="s">
        <v>184</v>
      </c>
      <c r="K50" s="18" t="s">
        <v>176</v>
      </c>
      <c r="L50" s="18" t="s">
        <v>176</v>
      </c>
      <c r="M50" s="18" t="s">
        <v>13</v>
      </c>
      <c r="N50" s="18"/>
      <c r="O50" s="21" t="s">
        <v>98</v>
      </c>
    </row>
    <row r="51" customFormat="false" ht="22.35" hidden="false" customHeight="false" outlineLevel="0" collapsed="false">
      <c r="A51" s="18" t="s">
        <v>629</v>
      </c>
      <c r="B51" s="18" t="s">
        <v>625</v>
      </c>
      <c r="C51" s="18" t="s">
        <v>6</v>
      </c>
      <c r="D51" s="18" t="s">
        <v>630</v>
      </c>
      <c r="E51" s="22" t="s">
        <v>11</v>
      </c>
      <c r="F51" s="18" t="s">
        <v>631</v>
      </c>
      <c r="G51" s="18" t="s">
        <v>632</v>
      </c>
      <c r="H51" s="18" t="s">
        <v>74</v>
      </c>
      <c r="I51" s="18" t="s">
        <v>11</v>
      </c>
      <c r="J51" s="18" t="s">
        <v>184</v>
      </c>
      <c r="K51" s="18" t="s">
        <v>176</v>
      </c>
      <c r="L51" s="18" t="s">
        <v>176</v>
      </c>
      <c r="M51" s="18" t="s">
        <v>13</v>
      </c>
      <c r="N51" s="18"/>
      <c r="O51" s="21" t="s">
        <v>98</v>
      </c>
    </row>
    <row r="52" customFormat="false" ht="22.35" hidden="false" customHeight="false" outlineLevel="0" collapsed="false">
      <c r="A52" s="18" t="s">
        <v>633</v>
      </c>
      <c r="B52" s="18" t="s">
        <v>625</v>
      </c>
      <c r="C52" s="18" t="s">
        <v>4</v>
      </c>
      <c r="D52" s="18" t="s">
        <v>634</v>
      </c>
      <c r="E52" s="20" t="s">
        <v>12</v>
      </c>
      <c r="F52" s="18" t="s">
        <v>635</v>
      </c>
      <c r="G52" s="18" t="s">
        <v>636</v>
      </c>
      <c r="H52" s="18" t="s">
        <v>637</v>
      </c>
      <c r="I52" s="18" t="s">
        <v>13</v>
      </c>
      <c r="J52" s="18" t="s">
        <v>184</v>
      </c>
      <c r="K52" s="18" t="s">
        <v>176</v>
      </c>
      <c r="L52" s="18" t="s">
        <v>176</v>
      </c>
      <c r="M52" s="18" t="s">
        <v>502</v>
      </c>
      <c r="N52" s="18"/>
      <c r="O52" s="21" t="s">
        <v>98</v>
      </c>
    </row>
    <row r="53" customFormat="false" ht="15" hidden="false" customHeight="false" outlineLevel="0" collapsed="false">
      <c r="A53" s="18" t="s">
        <v>638</v>
      </c>
      <c r="B53" s="18" t="s">
        <v>625</v>
      </c>
      <c r="C53" s="18" t="s">
        <v>4</v>
      </c>
      <c r="D53" s="18" t="s">
        <v>639</v>
      </c>
      <c r="E53" s="20" t="s">
        <v>12</v>
      </c>
      <c r="F53" s="18" t="s">
        <v>640</v>
      </c>
      <c r="G53" s="18" t="s">
        <v>641</v>
      </c>
      <c r="H53" s="18" t="s">
        <v>74</v>
      </c>
      <c r="I53" s="18" t="s">
        <v>184</v>
      </c>
      <c r="J53" s="18" t="s">
        <v>184</v>
      </c>
      <c r="K53" s="18" t="s">
        <v>184</v>
      </c>
      <c r="L53" s="18" t="s">
        <v>184</v>
      </c>
      <c r="M53" s="18" t="s">
        <v>502</v>
      </c>
      <c r="N53" s="18"/>
      <c r="O53" s="21" t="s">
        <v>98</v>
      </c>
    </row>
    <row r="54" customFormat="false" ht="15" hidden="false" customHeight="false" outlineLevel="0" collapsed="false">
      <c r="A54" s="18" t="s">
        <v>642</v>
      </c>
      <c r="B54" s="18" t="s">
        <v>625</v>
      </c>
      <c r="C54" s="18" t="s">
        <v>6</v>
      </c>
      <c r="D54" s="18" t="s">
        <v>643</v>
      </c>
      <c r="E54" s="23" t="s">
        <v>13</v>
      </c>
      <c r="F54" s="18" t="s">
        <v>644</v>
      </c>
      <c r="G54" s="18" t="s">
        <v>645</v>
      </c>
      <c r="H54" s="18" t="s">
        <v>74</v>
      </c>
      <c r="I54" s="18" t="s">
        <v>13</v>
      </c>
      <c r="J54" s="18" t="s">
        <v>184</v>
      </c>
      <c r="K54" s="18" t="s">
        <v>176</v>
      </c>
      <c r="L54" s="18" t="s">
        <v>176</v>
      </c>
      <c r="M54" s="18" t="s">
        <v>184</v>
      </c>
      <c r="N54" s="18" t="s">
        <v>555</v>
      </c>
      <c r="O54" s="21" t="s">
        <v>98</v>
      </c>
    </row>
    <row r="55" customFormat="false" ht="15" hidden="false" customHeight="false" outlineLevel="0" collapsed="false">
      <c r="A55" s="18" t="s">
        <v>646</v>
      </c>
      <c r="B55" s="18" t="s">
        <v>625</v>
      </c>
      <c r="C55" s="18" t="s">
        <v>6</v>
      </c>
      <c r="D55" s="18" t="s">
        <v>647</v>
      </c>
      <c r="E55" s="20" t="s">
        <v>12</v>
      </c>
      <c r="F55" s="18" t="s">
        <v>648</v>
      </c>
      <c r="G55" s="18" t="s">
        <v>649</v>
      </c>
      <c r="H55" s="18" t="s">
        <v>74</v>
      </c>
      <c r="I55" s="18" t="s">
        <v>184</v>
      </c>
      <c r="J55" s="18" t="s">
        <v>184</v>
      </c>
      <c r="K55" s="18" t="s">
        <v>184</v>
      </c>
      <c r="L55" s="18" t="s">
        <v>184</v>
      </c>
      <c r="M55" s="18" t="s">
        <v>184</v>
      </c>
      <c r="N55" s="18" t="s">
        <v>650</v>
      </c>
      <c r="O55" s="21" t="s">
        <v>118</v>
      </c>
    </row>
    <row r="56" customFormat="false" ht="22.35" hidden="false" customHeight="false" outlineLevel="0" collapsed="false">
      <c r="A56" s="18" t="s">
        <v>651</v>
      </c>
      <c r="B56" s="18" t="s">
        <v>625</v>
      </c>
      <c r="C56" s="18" t="s">
        <v>6</v>
      </c>
      <c r="D56" s="18" t="s">
        <v>652</v>
      </c>
      <c r="E56" s="22" t="s">
        <v>11</v>
      </c>
      <c r="F56" s="18" t="s">
        <v>653</v>
      </c>
      <c r="G56" s="18" t="s">
        <v>654</v>
      </c>
      <c r="H56" s="18" t="s">
        <v>74</v>
      </c>
      <c r="I56" s="18" t="s">
        <v>11</v>
      </c>
      <c r="J56" s="18" t="s">
        <v>184</v>
      </c>
      <c r="K56" s="18" t="s">
        <v>176</v>
      </c>
      <c r="L56" s="18" t="s">
        <v>176</v>
      </c>
      <c r="M56" s="18" t="s">
        <v>655</v>
      </c>
      <c r="N56" s="18" t="s">
        <v>656</v>
      </c>
      <c r="O56" s="21" t="s">
        <v>98</v>
      </c>
    </row>
    <row r="57" customFormat="false" ht="32.8" hidden="false" customHeight="false" outlineLevel="0" collapsed="false">
      <c r="A57" s="18" t="s">
        <v>657</v>
      </c>
      <c r="B57" s="18" t="s">
        <v>625</v>
      </c>
      <c r="C57" s="18" t="s">
        <v>4</v>
      </c>
      <c r="D57" s="18" t="s">
        <v>658</v>
      </c>
      <c r="E57" s="22" t="s">
        <v>11</v>
      </c>
      <c r="F57" s="18" t="s">
        <v>659</v>
      </c>
      <c r="G57" s="18" t="s">
        <v>660</v>
      </c>
      <c r="H57" s="18" t="s">
        <v>661</v>
      </c>
      <c r="I57" s="18" t="s">
        <v>11</v>
      </c>
      <c r="J57" s="18" t="s">
        <v>11</v>
      </c>
      <c r="K57" s="18" t="s">
        <v>176</v>
      </c>
      <c r="L57" s="18" t="s">
        <v>176</v>
      </c>
      <c r="M57" s="18" t="s">
        <v>11</v>
      </c>
      <c r="N57" s="18"/>
      <c r="O57" s="21" t="s">
        <v>78</v>
      </c>
    </row>
    <row r="58" customFormat="false" ht="15" hidden="false" customHeight="false" outlineLevel="0" collapsed="false">
      <c r="A58" s="18" t="s">
        <v>662</v>
      </c>
      <c r="B58" s="18" t="s">
        <v>663</v>
      </c>
      <c r="C58" s="18" t="s">
        <v>6</v>
      </c>
      <c r="D58" s="18" t="s">
        <v>664</v>
      </c>
      <c r="E58" s="20" t="s">
        <v>12</v>
      </c>
      <c r="F58" s="18" t="s">
        <v>482</v>
      </c>
      <c r="G58" s="18" t="s">
        <v>665</v>
      </c>
      <c r="H58" s="18" t="s">
        <v>74</v>
      </c>
      <c r="I58" s="18" t="s">
        <v>184</v>
      </c>
      <c r="J58" s="18" t="s">
        <v>184</v>
      </c>
      <c r="K58" s="18" t="s">
        <v>184</v>
      </c>
      <c r="L58" s="18" t="s">
        <v>184</v>
      </c>
      <c r="M58" s="18" t="s">
        <v>184</v>
      </c>
      <c r="N58" s="18"/>
      <c r="O58" s="21" t="s">
        <v>118</v>
      </c>
    </row>
    <row r="59" customFormat="false" ht="22.35" hidden="false" customHeight="false" outlineLevel="0" collapsed="false">
      <c r="A59" s="18" t="s">
        <v>666</v>
      </c>
      <c r="B59" s="18" t="s">
        <v>663</v>
      </c>
      <c r="C59" s="18" t="s">
        <v>6</v>
      </c>
      <c r="D59" s="18" t="s">
        <v>667</v>
      </c>
      <c r="E59" s="20" t="s">
        <v>12</v>
      </c>
      <c r="F59" s="18" t="s">
        <v>482</v>
      </c>
      <c r="G59" s="18" t="s">
        <v>668</v>
      </c>
      <c r="H59" s="18" t="s">
        <v>74</v>
      </c>
      <c r="I59" s="18" t="s">
        <v>184</v>
      </c>
      <c r="J59" s="18" t="s">
        <v>184</v>
      </c>
      <c r="K59" s="18" t="s">
        <v>184</v>
      </c>
      <c r="L59" s="18" t="s">
        <v>184</v>
      </c>
      <c r="M59" s="18" t="s">
        <v>184</v>
      </c>
      <c r="N59" s="18"/>
      <c r="O59" s="21" t="s">
        <v>118</v>
      </c>
    </row>
    <row r="60" customFormat="false" ht="22.35" hidden="false" customHeight="false" outlineLevel="0" collapsed="false">
      <c r="A60" s="18" t="s">
        <v>669</v>
      </c>
      <c r="B60" s="18" t="s">
        <v>663</v>
      </c>
      <c r="C60" s="18" t="s">
        <v>6</v>
      </c>
      <c r="D60" s="18" t="s">
        <v>670</v>
      </c>
      <c r="E60" s="20" t="s">
        <v>12</v>
      </c>
      <c r="F60" s="18" t="s">
        <v>482</v>
      </c>
      <c r="G60" s="18" t="s">
        <v>671</v>
      </c>
      <c r="H60" s="18" t="s">
        <v>74</v>
      </c>
      <c r="I60" s="18" t="s">
        <v>184</v>
      </c>
      <c r="J60" s="18" t="s">
        <v>184</v>
      </c>
      <c r="K60" s="18" t="s">
        <v>184</v>
      </c>
      <c r="L60" s="18" t="s">
        <v>184</v>
      </c>
      <c r="M60" s="18" t="s">
        <v>184</v>
      </c>
      <c r="N60" s="18"/>
      <c r="O60" s="21" t="s">
        <v>118</v>
      </c>
    </row>
    <row r="61" customFormat="false" ht="22.35" hidden="false" customHeight="false" outlineLevel="0" collapsed="false">
      <c r="A61" s="18" t="s">
        <v>672</v>
      </c>
      <c r="B61" s="18" t="s">
        <v>673</v>
      </c>
      <c r="C61" s="18" t="s">
        <v>6</v>
      </c>
      <c r="D61" s="18" t="s">
        <v>674</v>
      </c>
      <c r="E61" s="22" t="s">
        <v>11</v>
      </c>
      <c r="F61" s="18" t="s">
        <v>675</v>
      </c>
      <c r="G61" s="18" t="s">
        <v>676</v>
      </c>
      <c r="H61" s="18" t="s">
        <v>677</v>
      </c>
      <c r="I61" s="18" t="s">
        <v>11</v>
      </c>
      <c r="J61" s="18" t="s">
        <v>11</v>
      </c>
      <c r="K61" s="18" t="s">
        <v>176</v>
      </c>
      <c r="L61" s="18" t="s">
        <v>176</v>
      </c>
      <c r="M61" s="18" t="s">
        <v>184</v>
      </c>
      <c r="N61" s="18" t="s">
        <v>650</v>
      </c>
      <c r="O61" s="21" t="s">
        <v>118</v>
      </c>
    </row>
    <row r="62" customFormat="false" ht="22.35" hidden="false" customHeight="false" outlineLevel="0" collapsed="false">
      <c r="A62" s="18" t="s">
        <v>678</v>
      </c>
      <c r="B62" s="18" t="s">
        <v>679</v>
      </c>
      <c r="C62" s="18" t="s">
        <v>6</v>
      </c>
      <c r="D62" s="18" t="s">
        <v>680</v>
      </c>
      <c r="E62" s="27" t="s">
        <v>10</v>
      </c>
      <c r="F62" s="18" t="s">
        <v>681</v>
      </c>
      <c r="G62" s="18" t="s">
        <v>682</v>
      </c>
      <c r="H62" s="18" t="s">
        <v>571</v>
      </c>
      <c r="I62" s="18" t="s">
        <v>176</v>
      </c>
      <c r="J62" s="18" t="s">
        <v>599</v>
      </c>
      <c r="K62" s="18" t="s">
        <v>176</v>
      </c>
      <c r="L62" s="18" t="s">
        <v>176</v>
      </c>
      <c r="M62" s="18" t="s">
        <v>599</v>
      </c>
      <c r="N62" s="18" t="s">
        <v>683</v>
      </c>
      <c r="O62" s="21" t="s">
        <v>118</v>
      </c>
    </row>
    <row r="63" customFormat="false" ht="32.8" hidden="false" customHeight="false" outlineLevel="0" collapsed="false">
      <c r="A63" s="18" t="s">
        <v>684</v>
      </c>
      <c r="B63" s="18" t="s">
        <v>685</v>
      </c>
      <c r="C63" s="18" t="s">
        <v>6</v>
      </c>
      <c r="D63" s="18" t="s">
        <v>686</v>
      </c>
      <c r="E63" s="20" t="s">
        <v>12</v>
      </c>
      <c r="F63" s="18" t="s">
        <v>687</v>
      </c>
      <c r="G63" s="18" t="s">
        <v>688</v>
      </c>
      <c r="H63" s="18" t="s">
        <v>74</v>
      </c>
      <c r="I63" s="18" t="s">
        <v>184</v>
      </c>
      <c r="J63" s="18" t="s">
        <v>184</v>
      </c>
      <c r="K63" s="18" t="s">
        <v>184</v>
      </c>
      <c r="L63" s="18" t="s">
        <v>184</v>
      </c>
      <c r="M63" s="18" t="s">
        <v>184</v>
      </c>
      <c r="N63" s="18"/>
      <c r="O63" s="21" t="s">
        <v>118</v>
      </c>
    </row>
    <row r="64" customFormat="false" ht="22.35" hidden="false" customHeight="false" outlineLevel="0" collapsed="false">
      <c r="A64" s="18" t="s">
        <v>689</v>
      </c>
      <c r="B64" s="18" t="s">
        <v>685</v>
      </c>
      <c r="C64" s="18" t="s">
        <v>5</v>
      </c>
      <c r="D64" s="18" t="s">
        <v>690</v>
      </c>
      <c r="E64" s="22" t="s">
        <v>11</v>
      </c>
      <c r="F64" s="18" t="s">
        <v>691</v>
      </c>
      <c r="G64" s="18" t="s">
        <v>692</v>
      </c>
      <c r="H64" s="18" t="s">
        <v>74</v>
      </c>
      <c r="I64" s="18" t="s">
        <v>11</v>
      </c>
      <c r="J64" s="18" t="s">
        <v>184</v>
      </c>
      <c r="K64" s="18" t="s">
        <v>176</v>
      </c>
      <c r="L64" s="18" t="s">
        <v>176</v>
      </c>
      <c r="M64" s="18" t="s">
        <v>13</v>
      </c>
      <c r="N64" s="18" t="s">
        <v>693</v>
      </c>
      <c r="O64" s="21" t="s">
        <v>108</v>
      </c>
    </row>
    <row r="65" customFormat="false" ht="22.35" hidden="false" customHeight="false" outlineLevel="0" collapsed="false">
      <c r="A65" s="18" t="s">
        <v>694</v>
      </c>
      <c r="B65" s="18" t="s">
        <v>695</v>
      </c>
      <c r="C65" s="18" t="s">
        <v>4</v>
      </c>
      <c r="D65" s="18" t="s">
        <v>696</v>
      </c>
      <c r="E65" s="22" t="s">
        <v>11</v>
      </c>
      <c r="F65" s="18" t="s">
        <v>697</v>
      </c>
      <c r="G65" s="18" t="s">
        <v>698</v>
      </c>
      <c r="H65" s="18" t="s">
        <v>699</v>
      </c>
      <c r="I65" s="18" t="s">
        <v>11</v>
      </c>
      <c r="J65" s="18" t="s">
        <v>11</v>
      </c>
      <c r="K65" s="18" t="s">
        <v>176</v>
      </c>
      <c r="L65" s="18" t="s">
        <v>176</v>
      </c>
      <c r="M65" s="18" t="s">
        <v>13</v>
      </c>
      <c r="N65" s="18" t="s">
        <v>461</v>
      </c>
      <c r="O65" s="21" t="s">
        <v>88</v>
      </c>
    </row>
    <row r="66" customFormat="false" ht="22.35" hidden="false" customHeight="false" outlineLevel="0" collapsed="false">
      <c r="A66" s="18" t="s">
        <v>700</v>
      </c>
      <c r="B66" s="18" t="s">
        <v>695</v>
      </c>
      <c r="C66" s="18" t="s">
        <v>4</v>
      </c>
      <c r="D66" s="18" t="s">
        <v>701</v>
      </c>
      <c r="E66" s="27" t="s">
        <v>10</v>
      </c>
      <c r="F66" s="18" t="s">
        <v>702</v>
      </c>
      <c r="G66" s="18" t="s">
        <v>703</v>
      </c>
      <c r="H66" s="18" t="s">
        <v>704</v>
      </c>
      <c r="I66" s="18" t="s">
        <v>176</v>
      </c>
      <c r="J66" s="18" t="s">
        <v>705</v>
      </c>
      <c r="K66" s="18" t="s">
        <v>176</v>
      </c>
      <c r="L66" s="18" t="s">
        <v>176</v>
      </c>
      <c r="M66" s="18" t="s">
        <v>13</v>
      </c>
      <c r="N66" s="18"/>
      <c r="O66" s="21" t="s">
        <v>88</v>
      </c>
    </row>
    <row r="67" customFormat="false" ht="22.35" hidden="false" customHeight="false" outlineLevel="0" collapsed="false">
      <c r="A67" s="18" t="s">
        <v>706</v>
      </c>
      <c r="B67" s="18" t="s">
        <v>695</v>
      </c>
      <c r="C67" s="18" t="s">
        <v>4</v>
      </c>
      <c r="D67" s="18" t="s">
        <v>707</v>
      </c>
      <c r="E67" s="22" t="s">
        <v>11</v>
      </c>
      <c r="F67" s="18" t="s">
        <v>708</v>
      </c>
      <c r="G67" s="18" t="s">
        <v>709</v>
      </c>
      <c r="H67" s="18" t="s">
        <v>414</v>
      </c>
      <c r="I67" s="18" t="s">
        <v>11</v>
      </c>
      <c r="J67" s="18" t="s">
        <v>11</v>
      </c>
      <c r="K67" s="18" t="s">
        <v>176</v>
      </c>
      <c r="L67" s="18" t="s">
        <v>176</v>
      </c>
      <c r="M67" s="18" t="s">
        <v>184</v>
      </c>
      <c r="N67" s="18"/>
      <c r="O67" s="21" t="s">
        <v>88</v>
      </c>
    </row>
    <row r="68" customFormat="false" ht="22.35" hidden="false" customHeight="false" outlineLevel="0" collapsed="false">
      <c r="A68" s="18" t="s">
        <v>710</v>
      </c>
      <c r="B68" s="18" t="s">
        <v>695</v>
      </c>
      <c r="C68" s="18" t="s">
        <v>4</v>
      </c>
      <c r="D68" s="18" t="s">
        <v>711</v>
      </c>
      <c r="E68" s="27" t="s">
        <v>10</v>
      </c>
      <c r="F68" s="18" t="s">
        <v>712</v>
      </c>
      <c r="G68" s="18" t="s">
        <v>398</v>
      </c>
      <c r="H68" s="18" t="s">
        <v>713</v>
      </c>
      <c r="I68" s="18" t="s">
        <v>176</v>
      </c>
      <c r="J68" s="18" t="s">
        <v>514</v>
      </c>
      <c r="K68" s="18" t="s">
        <v>176</v>
      </c>
      <c r="L68" s="18" t="s">
        <v>176</v>
      </c>
      <c r="M68" s="18" t="s">
        <v>13</v>
      </c>
      <c r="N68" s="18"/>
      <c r="O68" s="21" t="s">
        <v>88</v>
      </c>
    </row>
    <row r="69" customFormat="false" ht="22.35" hidden="false" customHeight="false" outlineLevel="0" collapsed="false">
      <c r="A69" s="18" t="s">
        <v>714</v>
      </c>
      <c r="B69" s="18" t="s">
        <v>695</v>
      </c>
      <c r="C69" s="18" t="s">
        <v>4</v>
      </c>
      <c r="D69" s="18" t="s">
        <v>715</v>
      </c>
      <c r="E69" s="22" t="s">
        <v>11</v>
      </c>
      <c r="F69" s="18" t="s">
        <v>716</v>
      </c>
      <c r="G69" s="18" t="s">
        <v>717</v>
      </c>
      <c r="H69" s="18" t="s">
        <v>718</v>
      </c>
      <c r="I69" s="18" t="s">
        <v>11</v>
      </c>
      <c r="J69" s="18" t="s">
        <v>11</v>
      </c>
      <c r="K69" s="18" t="s">
        <v>176</v>
      </c>
      <c r="L69" s="18" t="s">
        <v>176</v>
      </c>
      <c r="M69" s="18" t="s">
        <v>13</v>
      </c>
      <c r="N69" s="18"/>
      <c r="O69" s="21" t="s">
        <v>88</v>
      </c>
    </row>
    <row r="70" customFormat="false" ht="22.35" hidden="false" customHeight="false" outlineLevel="0" collapsed="false">
      <c r="A70" s="18" t="s">
        <v>719</v>
      </c>
      <c r="B70" s="18" t="s">
        <v>695</v>
      </c>
      <c r="C70" s="18" t="s">
        <v>4</v>
      </c>
      <c r="D70" s="18" t="s">
        <v>720</v>
      </c>
      <c r="E70" s="23" t="s">
        <v>13</v>
      </c>
      <c r="F70" s="18" t="s">
        <v>721</v>
      </c>
      <c r="G70" s="18" t="s">
        <v>722</v>
      </c>
      <c r="H70" s="18" t="s">
        <v>723</v>
      </c>
      <c r="I70" s="18" t="s">
        <v>13</v>
      </c>
      <c r="J70" s="18" t="s">
        <v>184</v>
      </c>
      <c r="K70" s="18" t="s">
        <v>176</v>
      </c>
      <c r="L70" s="18" t="s">
        <v>176</v>
      </c>
      <c r="M70" s="18" t="s">
        <v>184</v>
      </c>
      <c r="N70" s="18"/>
      <c r="O70" s="21" t="s">
        <v>88</v>
      </c>
    </row>
    <row r="71" customFormat="false" ht="15" hidden="false" customHeight="false" outlineLevel="0" collapsed="false">
      <c r="A71" s="18" t="s">
        <v>724</v>
      </c>
      <c r="B71" s="18" t="s">
        <v>695</v>
      </c>
      <c r="C71" s="18" t="s">
        <v>6</v>
      </c>
      <c r="D71" s="18" t="s">
        <v>725</v>
      </c>
      <c r="E71" s="23" t="s">
        <v>13</v>
      </c>
      <c r="F71" s="18" t="s">
        <v>553</v>
      </c>
      <c r="G71" s="18" t="s">
        <v>726</v>
      </c>
      <c r="H71" s="18" t="s">
        <v>74</v>
      </c>
      <c r="I71" s="18" t="s">
        <v>13</v>
      </c>
      <c r="J71" s="18" t="s">
        <v>184</v>
      </c>
      <c r="K71" s="18" t="s">
        <v>176</v>
      </c>
      <c r="L71" s="18" t="s">
        <v>176</v>
      </c>
      <c r="M71" s="18" t="s">
        <v>184</v>
      </c>
      <c r="N71" s="18" t="s">
        <v>555</v>
      </c>
      <c r="O71" s="21" t="s">
        <v>88</v>
      </c>
    </row>
    <row r="72" customFormat="false" ht="15" hidden="false" customHeight="false" outlineLevel="0" collapsed="false">
      <c r="A72" s="18" t="s">
        <v>727</v>
      </c>
      <c r="B72" s="18" t="s">
        <v>728</v>
      </c>
      <c r="C72" s="18" t="s">
        <v>5</v>
      </c>
      <c r="D72" s="18" t="s">
        <v>729</v>
      </c>
      <c r="E72" s="22" t="s">
        <v>11</v>
      </c>
      <c r="F72" s="18" t="s">
        <v>730</v>
      </c>
      <c r="G72" s="18" t="s">
        <v>731</v>
      </c>
      <c r="H72" s="18" t="s">
        <v>74</v>
      </c>
      <c r="I72" s="18" t="s">
        <v>11</v>
      </c>
      <c r="J72" s="18" t="s">
        <v>184</v>
      </c>
      <c r="K72" s="18" t="s">
        <v>176</v>
      </c>
      <c r="L72" s="18" t="s">
        <v>176</v>
      </c>
      <c r="M72" s="18" t="s">
        <v>13</v>
      </c>
      <c r="N72" s="18"/>
      <c r="O72" s="21" t="s">
        <v>108</v>
      </c>
    </row>
    <row r="73" customFormat="false" ht="15" hidden="false" customHeight="false" outlineLevel="0" collapsed="false">
      <c r="A73" s="18" t="s">
        <v>732</v>
      </c>
      <c r="B73" s="18" t="s">
        <v>728</v>
      </c>
      <c r="C73" s="18" t="s">
        <v>5</v>
      </c>
      <c r="D73" s="18" t="s">
        <v>733</v>
      </c>
      <c r="E73" s="20" t="s">
        <v>12</v>
      </c>
      <c r="F73" s="18" t="s">
        <v>482</v>
      </c>
      <c r="G73" s="18" t="s">
        <v>734</v>
      </c>
      <c r="H73" s="18" t="s">
        <v>74</v>
      </c>
      <c r="I73" s="18" t="s">
        <v>184</v>
      </c>
      <c r="J73" s="18" t="s">
        <v>184</v>
      </c>
      <c r="K73" s="18" t="s">
        <v>184</v>
      </c>
      <c r="L73" s="18" t="s">
        <v>184</v>
      </c>
      <c r="M73" s="18" t="s">
        <v>184</v>
      </c>
      <c r="N73" s="18"/>
      <c r="O73" s="21" t="s">
        <v>108</v>
      </c>
    </row>
    <row r="74" customFormat="false" ht="22.35" hidden="false" customHeight="false" outlineLevel="0" collapsed="false">
      <c r="A74" s="18" t="s">
        <v>735</v>
      </c>
      <c r="B74" s="18" t="s">
        <v>728</v>
      </c>
      <c r="C74" s="18" t="s">
        <v>5</v>
      </c>
      <c r="D74" s="18" t="s">
        <v>736</v>
      </c>
      <c r="E74" s="22" t="s">
        <v>11</v>
      </c>
      <c r="F74" s="18" t="s">
        <v>737</v>
      </c>
      <c r="G74" s="18" t="s">
        <v>738</v>
      </c>
      <c r="H74" s="18" t="s">
        <v>74</v>
      </c>
      <c r="I74" s="18" t="s">
        <v>11</v>
      </c>
      <c r="J74" s="18" t="s">
        <v>184</v>
      </c>
      <c r="K74" s="18" t="s">
        <v>176</v>
      </c>
      <c r="L74" s="18" t="s">
        <v>176</v>
      </c>
      <c r="M74" s="18" t="s">
        <v>13</v>
      </c>
      <c r="N74" s="18"/>
      <c r="O74" s="21" t="s">
        <v>108</v>
      </c>
    </row>
    <row r="75" customFormat="false" ht="22.35" hidden="false" customHeight="false" outlineLevel="0" collapsed="false">
      <c r="A75" s="18" t="s">
        <v>739</v>
      </c>
      <c r="B75" s="18" t="s">
        <v>728</v>
      </c>
      <c r="C75" s="18" t="s">
        <v>5</v>
      </c>
      <c r="D75" s="18" t="s">
        <v>740</v>
      </c>
      <c r="E75" s="20" t="s">
        <v>12</v>
      </c>
      <c r="F75" s="18" t="s">
        <v>741</v>
      </c>
      <c r="G75" s="18" t="s">
        <v>742</v>
      </c>
      <c r="H75" s="18" t="s">
        <v>743</v>
      </c>
      <c r="I75" s="18" t="s">
        <v>184</v>
      </c>
      <c r="J75" s="18" t="s">
        <v>184</v>
      </c>
      <c r="K75" s="18" t="s">
        <v>184</v>
      </c>
      <c r="L75" s="18" t="s">
        <v>184</v>
      </c>
      <c r="M75" s="18" t="s">
        <v>184</v>
      </c>
      <c r="N75" s="18" t="s">
        <v>744</v>
      </c>
      <c r="O75" s="21" t="s">
        <v>108</v>
      </c>
    </row>
    <row r="76" customFormat="false" ht="22.35" hidden="false" customHeight="false" outlineLevel="0" collapsed="false">
      <c r="A76" s="18" t="s">
        <v>745</v>
      </c>
      <c r="B76" s="18" t="s">
        <v>746</v>
      </c>
      <c r="C76" s="18" t="s">
        <v>5</v>
      </c>
      <c r="D76" s="18" t="s">
        <v>747</v>
      </c>
      <c r="E76" s="20" t="s">
        <v>12</v>
      </c>
      <c r="F76" s="18" t="s">
        <v>748</v>
      </c>
      <c r="G76" s="18" t="s">
        <v>749</v>
      </c>
      <c r="H76" s="18" t="s">
        <v>74</v>
      </c>
      <c r="I76" s="18" t="s">
        <v>184</v>
      </c>
      <c r="J76" s="18" t="s">
        <v>184</v>
      </c>
      <c r="K76" s="18" t="s">
        <v>176</v>
      </c>
      <c r="L76" s="18" t="s">
        <v>176</v>
      </c>
      <c r="M76" s="18" t="s">
        <v>13</v>
      </c>
      <c r="N76" s="18" t="s">
        <v>750</v>
      </c>
      <c r="O76" s="21" t="s">
        <v>108</v>
      </c>
    </row>
    <row r="77" customFormat="false" ht="32.8" hidden="false" customHeight="false" outlineLevel="0" collapsed="false">
      <c r="A77" s="18" t="s">
        <v>751</v>
      </c>
      <c r="B77" s="18" t="s">
        <v>752</v>
      </c>
      <c r="C77" s="18" t="s">
        <v>5</v>
      </c>
      <c r="D77" s="18" t="s">
        <v>753</v>
      </c>
      <c r="E77" s="28" t="s">
        <v>14</v>
      </c>
      <c r="F77" s="18" t="s">
        <v>754</v>
      </c>
      <c r="G77" s="18" t="s">
        <v>755</v>
      </c>
      <c r="H77" s="18" t="s">
        <v>74</v>
      </c>
      <c r="I77" s="18" t="s">
        <v>184</v>
      </c>
      <c r="J77" s="18" t="s">
        <v>184</v>
      </c>
      <c r="K77" s="18" t="s">
        <v>184</v>
      </c>
      <c r="L77" s="18" t="s">
        <v>184</v>
      </c>
      <c r="M77" s="18" t="s">
        <v>756</v>
      </c>
      <c r="N77" s="18" t="s">
        <v>757</v>
      </c>
      <c r="O77" s="21" t="s">
        <v>68</v>
      </c>
    </row>
    <row r="78" customFormat="false" ht="22.35" hidden="false" customHeight="false" outlineLevel="0" collapsed="false">
      <c r="A78" s="18" t="s">
        <v>758</v>
      </c>
      <c r="B78" s="18" t="s">
        <v>759</v>
      </c>
      <c r="C78" s="18" t="s">
        <v>5</v>
      </c>
      <c r="D78" s="18" t="s">
        <v>760</v>
      </c>
      <c r="E78" s="22" t="s">
        <v>11</v>
      </c>
      <c r="F78" s="18" t="s">
        <v>761</v>
      </c>
      <c r="G78" s="18" t="s">
        <v>762</v>
      </c>
      <c r="H78" s="18" t="s">
        <v>74</v>
      </c>
      <c r="I78" s="18" t="s">
        <v>11</v>
      </c>
      <c r="J78" s="18" t="s">
        <v>184</v>
      </c>
      <c r="K78" s="18" t="s">
        <v>176</v>
      </c>
      <c r="L78" s="18" t="s">
        <v>176</v>
      </c>
      <c r="M78" s="18" t="s">
        <v>763</v>
      </c>
      <c r="N78" s="18" t="s">
        <v>764</v>
      </c>
      <c r="O78" s="21" t="s">
        <v>108</v>
      </c>
    </row>
    <row r="79" customFormat="false" ht="15" hidden="false" customHeight="false" outlineLevel="0" collapsed="false">
      <c r="A79" s="18" t="s">
        <v>765</v>
      </c>
      <c r="B79" s="18" t="s">
        <v>759</v>
      </c>
      <c r="C79" s="18" t="s">
        <v>5</v>
      </c>
      <c r="D79" s="18" t="s">
        <v>766</v>
      </c>
      <c r="E79" s="20" t="s">
        <v>12</v>
      </c>
      <c r="F79" s="18" t="s">
        <v>767</v>
      </c>
      <c r="G79" s="18" t="s">
        <v>768</v>
      </c>
      <c r="H79" s="18" t="s">
        <v>74</v>
      </c>
      <c r="I79" s="18" t="s">
        <v>184</v>
      </c>
      <c r="J79" s="18" t="s">
        <v>184</v>
      </c>
      <c r="K79" s="18" t="s">
        <v>184</v>
      </c>
      <c r="L79" s="18" t="s">
        <v>184</v>
      </c>
      <c r="M79" s="18" t="s">
        <v>184</v>
      </c>
      <c r="N79" s="18"/>
      <c r="O79" s="21" t="s">
        <v>108</v>
      </c>
    </row>
    <row r="80" customFormat="false" ht="15" hidden="false" customHeight="false" outlineLevel="0" collapsed="false">
      <c r="A80" s="18" t="s">
        <v>769</v>
      </c>
      <c r="B80" s="18" t="s">
        <v>759</v>
      </c>
      <c r="C80" s="18" t="s">
        <v>5</v>
      </c>
      <c r="D80" s="18" t="s">
        <v>770</v>
      </c>
      <c r="E80" s="28" t="s">
        <v>14</v>
      </c>
      <c r="F80" s="18" t="s">
        <v>482</v>
      </c>
      <c r="G80" s="18" t="s">
        <v>771</v>
      </c>
      <c r="H80" s="18" t="s">
        <v>74</v>
      </c>
      <c r="I80" s="18" t="s">
        <v>184</v>
      </c>
      <c r="J80" s="18" t="s">
        <v>184</v>
      </c>
      <c r="K80" s="18" t="s">
        <v>184</v>
      </c>
      <c r="L80" s="18" t="s">
        <v>184</v>
      </c>
      <c r="M80" s="18" t="s">
        <v>184</v>
      </c>
      <c r="N80" s="18" t="s">
        <v>772</v>
      </c>
      <c r="O80" s="21" t="s">
        <v>108</v>
      </c>
    </row>
    <row r="81" customFormat="false" ht="15" hidden="false" customHeight="false" outlineLevel="0" collapsed="false">
      <c r="A81" s="18" t="s">
        <v>773</v>
      </c>
      <c r="B81" s="18" t="s">
        <v>759</v>
      </c>
      <c r="C81" s="18" t="s">
        <v>5</v>
      </c>
      <c r="D81" s="18" t="s">
        <v>774</v>
      </c>
      <c r="E81" s="20" t="s">
        <v>12</v>
      </c>
      <c r="F81" s="18" t="s">
        <v>482</v>
      </c>
      <c r="G81" s="18" t="s">
        <v>775</v>
      </c>
      <c r="H81" s="18" t="s">
        <v>74</v>
      </c>
      <c r="I81" s="18" t="s">
        <v>184</v>
      </c>
      <c r="J81" s="18" t="s">
        <v>184</v>
      </c>
      <c r="K81" s="18" t="s">
        <v>184</v>
      </c>
      <c r="L81" s="18" t="s">
        <v>184</v>
      </c>
      <c r="M81" s="18" t="s">
        <v>184</v>
      </c>
      <c r="N81" s="18" t="s">
        <v>776</v>
      </c>
      <c r="O81" s="21" t="s">
        <v>108</v>
      </c>
    </row>
    <row r="82" customFormat="false" ht="22.35" hidden="false" customHeight="false" outlineLevel="0" collapsed="false">
      <c r="A82" s="18" t="s">
        <v>777</v>
      </c>
      <c r="B82" s="18" t="s">
        <v>759</v>
      </c>
      <c r="C82" s="18" t="s">
        <v>5</v>
      </c>
      <c r="D82" s="18" t="s">
        <v>778</v>
      </c>
      <c r="E82" s="20" t="s">
        <v>12</v>
      </c>
      <c r="F82" s="18" t="s">
        <v>779</v>
      </c>
      <c r="G82" s="18" t="s">
        <v>780</v>
      </c>
      <c r="H82" s="18" t="s">
        <v>74</v>
      </c>
      <c r="I82" s="18" t="s">
        <v>184</v>
      </c>
      <c r="J82" s="18" t="s">
        <v>184</v>
      </c>
      <c r="K82" s="18" t="s">
        <v>184</v>
      </c>
      <c r="L82" s="18" t="s">
        <v>184</v>
      </c>
      <c r="M82" s="18" t="s">
        <v>184</v>
      </c>
      <c r="N82" s="18" t="s">
        <v>781</v>
      </c>
      <c r="O82" s="21" t="s">
        <v>108</v>
      </c>
    </row>
    <row r="83" customFormat="false" ht="15" hidden="false" customHeight="false" outlineLevel="0" collapsed="false">
      <c r="A83" s="18" t="s">
        <v>782</v>
      </c>
      <c r="B83" s="18" t="s">
        <v>783</v>
      </c>
      <c r="C83" s="18" t="s">
        <v>5</v>
      </c>
      <c r="D83" s="18" t="s">
        <v>784</v>
      </c>
      <c r="E83" s="22" t="s">
        <v>11</v>
      </c>
      <c r="F83" s="18" t="s">
        <v>785</v>
      </c>
      <c r="G83" s="18" t="s">
        <v>786</v>
      </c>
      <c r="H83" s="18" t="s">
        <v>74</v>
      </c>
      <c r="I83" s="18" t="s">
        <v>11</v>
      </c>
      <c r="J83" s="18" t="s">
        <v>184</v>
      </c>
      <c r="K83" s="18" t="s">
        <v>176</v>
      </c>
      <c r="L83" s="18" t="s">
        <v>176</v>
      </c>
      <c r="M83" s="18" t="s">
        <v>13</v>
      </c>
      <c r="N83" s="18"/>
      <c r="O83" s="21" t="s">
        <v>108</v>
      </c>
    </row>
    <row r="84" customFormat="false" ht="22.35" hidden="false" customHeight="false" outlineLevel="0" collapsed="false">
      <c r="A84" s="18" t="s">
        <v>787</v>
      </c>
      <c r="B84" s="18" t="s">
        <v>783</v>
      </c>
      <c r="C84" s="18" t="s">
        <v>5</v>
      </c>
      <c r="D84" s="18" t="s">
        <v>788</v>
      </c>
      <c r="E84" s="20" t="s">
        <v>12</v>
      </c>
      <c r="F84" s="18" t="s">
        <v>789</v>
      </c>
      <c r="G84" s="18" t="s">
        <v>790</v>
      </c>
      <c r="H84" s="18" t="s">
        <v>74</v>
      </c>
      <c r="I84" s="18" t="s">
        <v>184</v>
      </c>
      <c r="J84" s="18" t="s">
        <v>184</v>
      </c>
      <c r="K84" s="18" t="s">
        <v>184</v>
      </c>
      <c r="L84" s="18" t="s">
        <v>184</v>
      </c>
      <c r="M84" s="18" t="s">
        <v>763</v>
      </c>
      <c r="N84" s="18" t="s">
        <v>791</v>
      </c>
      <c r="O84" s="21" t="s">
        <v>108</v>
      </c>
    </row>
    <row r="85" customFormat="false" ht="15" hidden="false" customHeight="false" outlineLevel="0" collapsed="false">
      <c r="A85" s="18" t="s">
        <v>792</v>
      </c>
      <c r="B85" s="18" t="s">
        <v>783</v>
      </c>
      <c r="C85" s="18" t="s">
        <v>5</v>
      </c>
      <c r="D85" s="18" t="s">
        <v>793</v>
      </c>
      <c r="E85" s="20" t="s">
        <v>12</v>
      </c>
      <c r="F85" s="18" t="s">
        <v>482</v>
      </c>
      <c r="G85" s="18" t="s">
        <v>794</v>
      </c>
      <c r="H85" s="18" t="s">
        <v>74</v>
      </c>
      <c r="I85" s="18" t="s">
        <v>184</v>
      </c>
      <c r="J85" s="18" t="s">
        <v>184</v>
      </c>
      <c r="K85" s="18" t="s">
        <v>184</v>
      </c>
      <c r="L85" s="18" t="s">
        <v>184</v>
      </c>
      <c r="M85" s="18" t="s">
        <v>184</v>
      </c>
      <c r="N85" s="18"/>
      <c r="O85" s="21" t="s">
        <v>108</v>
      </c>
    </row>
    <row r="86" customFormat="false" ht="22.35" hidden="false" customHeight="false" outlineLevel="0" collapsed="false">
      <c r="A86" s="18" t="s">
        <v>795</v>
      </c>
      <c r="B86" s="18" t="s">
        <v>783</v>
      </c>
      <c r="C86" s="18" t="s">
        <v>7</v>
      </c>
      <c r="D86" s="18" t="s">
        <v>796</v>
      </c>
      <c r="E86" s="20" t="s">
        <v>12</v>
      </c>
      <c r="F86" s="18" t="s">
        <v>482</v>
      </c>
      <c r="G86" s="18" t="s">
        <v>797</v>
      </c>
      <c r="H86" s="18" t="s">
        <v>74</v>
      </c>
      <c r="I86" s="18" t="s">
        <v>184</v>
      </c>
      <c r="J86" s="18" t="s">
        <v>184</v>
      </c>
      <c r="K86" s="18" t="s">
        <v>184</v>
      </c>
      <c r="L86" s="18" t="s">
        <v>184</v>
      </c>
      <c r="M86" s="18" t="s">
        <v>184</v>
      </c>
      <c r="N86" s="18" t="s">
        <v>798</v>
      </c>
      <c r="O86" s="21" t="s">
        <v>128</v>
      </c>
    </row>
    <row r="87" customFormat="false" ht="22.35" hidden="false" customHeight="false" outlineLevel="0" collapsed="false">
      <c r="A87" s="18" t="s">
        <v>799</v>
      </c>
      <c r="B87" s="18" t="s">
        <v>800</v>
      </c>
      <c r="C87" s="18" t="s">
        <v>7</v>
      </c>
      <c r="D87" s="18" t="s">
        <v>801</v>
      </c>
      <c r="E87" s="20" t="s">
        <v>12</v>
      </c>
      <c r="F87" s="18" t="s">
        <v>482</v>
      </c>
      <c r="G87" s="18" t="s">
        <v>802</v>
      </c>
      <c r="H87" s="18" t="s">
        <v>74</v>
      </c>
      <c r="I87" s="18" t="s">
        <v>184</v>
      </c>
      <c r="J87" s="18" t="s">
        <v>184</v>
      </c>
      <c r="K87" s="18" t="s">
        <v>184</v>
      </c>
      <c r="L87" s="18" t="s">
        <v>184</v>
      </c>
      <c r="M87" s="18" t="s">
        <v>184</v>
      </c>
      <c r="N87" s="18" t="s">
        <v>484</v>
      </c>
      <c r="O87" s="21" t="s">
        <v>128</v>
      </c>
    </row>
    <row r="88" customFormat="false" ht="15" hidden="false" customHeight="false" outlineLevel="0" collapsed="false">
      <c r="A88" s="18" t="s">
        <v>803</v>
      </c>
      <c r="B88" s="18" t="s">
        <v>804</v>
      </c>
      <c r="C88" s="18" t="s">
        <v>7</v>
      </c>
      <c r="D88" s="18" t="s">
        <v>805</v>
      </c>
      <c r="E88" s="20" t="s">
        <v>12</v>
      </c>
      <c r="F88" s="18" t="s">
        <v>482</v>
      </c>
      <c r="G88" s="18" t="s">
        <v>802</v>
      </c>
      <c r="H88" s="18" t="s">
        <v>74</v>
      </c>
      <c r="I88" s="18" t="s">
        <v>184</v>
      </c>
      <c r="J88" s="18" t="s">
        <v>184</v>
      </c>
      <c r="K88" s="18" t="s">
        <v>184</v>
      </c>
      <c r="L88" s="18" t="s">
        <v>184</v>
      </c>
      <c r="M88" s="18" t="s">
        <v>184</v>
      </c>
      <c r="N88" s="18" t="s">
        <v>806</v>
      </c>
      <c r="O88" s="21" t="s">
        <v>128</v>
      </c>
    </row>
    <row r="89" customFormat="false" ht="15" hidden="false" customHeight="false" outlineLevel="0" collapsed="false">
      <c r="A89" s="18" t="s">
        <v>807</v>
      </c>
      <c r="B89" s="18" t="s">
        <v>808</v>
      </c>
      <c r="C89" s="18" t="s">
        <v>7</v>
      </c>
      <c r="D89" s="18" t="s">
        <v>809</v>
      </c>
      <c r="E89" s="20" t="s">
        <v>12</v>
      </c>
      <c r="F89" s="18" t="s">
        <v>482</v>
      </c>
      <c r="G89" s="18" t="s">
        <v>802</v>
      </c>
      <c r="H89" s="18" t="s">
        <v>74</v>
      </c>
      <c r="I89" s="18" t="s">
        <v>184</v>
      </c>
      <c r="J89" s="18" t="s">
        <v>184</v>
      </c>
      <c r="K89" s="18" t="s">
        <v>184</v>
      </c>
      <c r="L89" s="18" t="s">
        <v>184</v>
      </c>
      <c r="M89" s="18" t="s">
        <v>184</v>
      </c>
      <c r="N89" s="18"/>
      <c r="O89" s="21" t="s">
        <v>128</v>
      </c>
    </row>
    <row r="90" customFormat="false" ht="22.35" hidden="false" customHeight="false" outlineLevel="0" collapsed="false">
      <c r="A90" s="18" t="s">
        <v>810</v>
      </c>
      <c r="B90" s="18" t="s">
        <v>811</v>
      </c>
      <c r="C90" s="18" t="s">
        <v>8</v>
      </c>
      <c r="D90" s="18" t="s">
        <v>812</v>
      </c>
      <c r="E90" s="20" t="s">
        <v>12</v>
      </c>
      <c r="F90" s="18" t="s">
        <v>482</v>
      </c>
      <c r="G90" s="18" t="s">
        <v>802</v>
      </c>
      <c r="H90" s="18" t="s">
        <v>74</v>
      </c>
      <c r="I90" s="18" t="s">
        <v>184</v>
      </c>
      <c r="J90" s="18" t="s">
        <v>184</v>
      </c>
      <c r="K90" s="18" t="s">
        <v>184</v>
      </c>
      <c r="L90" s="18" t="s">
        <v>184</v>
      </c>
      <c r="M90" s="18" t="s">
        <v>184</v>
      </c>
      <c r="N90" s="18" t="s">
        <v>813</v>
      </c>
      <c r="O90" s="21" t="s">
        <v>137</v>
      </c>
    </row>
    <row r="91" customFormat="false" ht="15" hidden="false" customHeight="false" outlineLevel="0" collapsed="false">
      <c r="A91" s="18" t="s">
        <v>814</v>
      </c>
      <c r="B91" s="18" t="s">
        <v>811</v>
      </c>
      <c r="C91" s="18" t="s">
        <v>8</v>
      </c>
      <c r="D91" s="18" t="s">
        <v>815</v>
      </c>
      <c r="E91" s="20" t="s">
        <v>12</v>
      </c>
      <c r="F91" s="18" t="s">
        <v>482</v>
      </c>
      <c r="G91" s="18" t="s">
        <v>816</v>
      </c>
      <c r="H91" s="18" t="s">
        <v>74</v>
      </c>
      <c r="I91" s="18" t="s">
        <v>184</v>
      </c>
      <c r="J91" s="18" t="s">
        <v>184</v>
      </c>
      <c r="K91" s="18" t="s">
        <v>184</v>
      </c>
      <c r="L91" s="18" t="s">
        <v>184</v>
      </c>
      <c r="M91" s="18" t="s">
        <v>184</v>
      </c>
      <c r="N91" s="18"/>
      <c r="O91" s="21" t="s">
        <v>137</v>
      </c>
    </row>
    <row r="92" customFormat="false" ht="22.35" hidden="false" customHeight="false" outlineLevel="0" collapsed="false">
      <c r="A92" s="18" t="s">
        <v>817</v>
      </c>
      <c r="B92" s="18" t="s">
        <v>818</v>
      </c>
      <c r="C92" s="18" t="s">
        <v>6</v>
      </c>
      <c r="D92" s="18" t="s">
        <v>819</v>
      </c>
      <c r="E92" s="23" t="s">
        <v>13</v>
      </c>
      <c r="F92" s="18" t="s">
        <v>820</v>
      </c>
      <c r="G92" s="18" t="s">
        <v>821</v>
      </c>
      <c r="H92" s="18" t="s">
        <v>74</v>
      </c>
      <c r="I92" s="18" t="s">
        <v>13</v>
      </c>
      <c r="J92" s="18" t="s">
        <v>184</v>
      </c>
      <c r="K92" s="18" t="s">
        <v>176</v>
      </c>
      <c r="L92" s="18" t="s">
        <v>176</v>
      </c>
      <c r="M92" s="18" t="s">
        <v>11</v>
      </c>
      <c r="N92" s="18" t="s">
        <v>555</v>
      </c>
      <c r="O92" s="21" t="s">
        <v>118</v>
      </c>
    </row>
    <row r="93" customFormat="false" ht="15" hidden="false" customHeight="false" outlineLevel="0" collapsed="false">
      <c r="A93" s="18" t="s">
        <v>822</v>
      </c>
      <c r="B93" s="18" t="s">
        <v>818</v>
      </c>
      <c r="C93" s="18" t="s">
        <v>5</v>
      </c>
      <c r="D93" s="18" t="s">
        <v>823</v>
      </c>
      <c r="E93" s="20" t="s">
        <v>12</v>
      </c>
      <c r="F93" s="18" t="s">
        <v>482</v>
      </c>
      <c r="G93" s="18" t="s">
        <v>824</v>
      </c>
      <c r="H93" s="18" t="s">
        <v>74</v>
      </c>
      <c r="I93" s="18" t="s">
        <v>184</v>
      </c>
      <c r="J93" s="18" t="s">
        <v>184</v>
      </c>
      <c r="K93" s="18" t="s">
        <v>184</v>
      </c>
      <c r="L93" s="18" t="s">
        <v>184</v>
      </c>
      <c r="M93" s="18" t="s">
        <v>184</v>
      </c>
      <c r="N93" s="18"/>
      <c r="O93" s="21" t="s">
        <v>108</v>
      </c>
    </row>
    <row r="94" customFormat="false" ht="22.35" hidden="false" customHeight="false" outlineLevel="0" collapsed="false">
      <c r="A94" s="18" t="s">
        <v>825</v>
      </c>
      <c r="B94" s="18" t="s">
        <v>818</v>
      </c>
      <c r="C94" s="18" t="s">
        <v>6</v>
      </c>
      <c r="D94" s="18" t="s">
        <v>826</v>
      </c>
      <c r="E94" s="22" t="s">
        <v>11</v>
      </c>
      <c r="F94" s="18" t="s">
        <v>827</v>
      </c>
      <c r="G94" s="18" t="s">
        <v>828</v>
      </c>
      <c r="H94" s="18" t="s">
        <v>74</v>
      </c>
      <c r="I94" s="18" t="s">
        <v>11</v>
      </c>
      <c r="J94" s="18" t="s">
        <v>184</v>
      </c>
      <c r="K94" s="18" t="s">
        <v>176</v>
      </c>
      <c r="L94" s="18" t="s">
        <v>176</v>
      </c>
      <c r="M94" s="18" t="s">
        <v>13</v>
      </c>
      <c r="N94" s="18"/>
      <c r="O94" s="21" t="s">
        <v>118</v>
      </c>
    </row>
    <row r="95" customFormat="false" ht="43.25" hidden="false" customHeight="false" outlineLevel="0" collapsed="false">
      <c r="A95" s="18" t="s">
        <v>829</v>
      </c>
      <c r="B95" s="18" t="s">
        <v>830</v>
      </c>
      <c r="C95" s="18" t="s">
        <v>4</v>
      </c>
      <c r="D95" s="18" t="s">
        <v>831</v>
      </c>
      <c r="E95" s="22" t="s">
        <v>11</v>
      </c>
      <c r="F95" s="18" t="s">
        <v>832</v>
      </c>
      <c r="G95" s="18" t="s">
        <v>833</v>
      </c>
      <c r="H95" s="18" t="s">
        <v>74</v>
      </c>
      <c r="I95" s="18" t="s">
        <v>11</v>
      </c>
      <c r="J95" s="18" t="s">
        <v>184</v>
      </c>
      <c r="K95" s="18" t="s">
        <v>176</v>
      </c>
      <c r="L95" s="18" t="s">
        <v>176</v>
      </c>
      <c r="M95" s="18" t="s">
        <v>11</v>
      </c>
      <c r="N95" s="18"/>
      <c r="O95" s="21" t="s">
        <v>78</v>
      </c>
    </row>
    <row r="96" customFormat="false" ht="15" hidden="false" customHeight="false" outlineLevel="0" collapsed="false">
      <c r="A96" s="18" t="s">
        <v>834</v>
      </c>
      <c r="B96" s="18" t="s">
        <v>830</v>
      </c>
      <c r="C96" s="18" t="s">
        <v>4</v>
      </c>
      <c r="D96" s="18" t="s">
        <v>835</v>
      </c>
      <c r="E96" s="23" t="s">
        <v>13</v>
      </c>
      <c r="F96" s="18" t="s">
        <v>836</v>
      </c>
      <c r="G96" s="18" t="s">
        <v>837</v>
      </c>
      <c r="H96" s="18" t="s">
        <v>74</v>
      </c>
      <c r="I96" s="18" t="s">
        <v>13</v>
      </c>
      <c r="J96" s="18" t="s">
        <v>184</v>
      </c>
      <c r="K96" s="18" t="s">
        <v>176</v>
      </c>
      <c r="L96" s="18" t="s">
        <v>176</v>
      </c>
      <c r="M96" s="18" t="s">
        <v>184</v>
      </c>
      <c r="N96" s="18"/>
      <c r="O96" s="21" t="s">
        <v>78</v>
      </c>
    </row>
    <row r="97" customFormat="false" ht="15" hidden="false" customHeight="false" outlineLevel="0" collapsed="false">
      <c r="A97" s="18" t="s">
        <v>838</v>
      </c>
      <c r="B97" s="18" t="s">
        <v>830</v>
      </c>
      <c r="C97" s="18" t="s">
        <v>9</v>
      </c>
      <c r="D97" s="18" t="s">
        <v>839</v>
      </c>
      <c r="E97" s="20" t="s">
        <v>12</v>
      </c>
      <c r="F97" s="18" t="s">
        <v>482</v>
      </c>
      <c r="G97" s="18" t="s">
        <v>840</v>
      </c>
      <c r="H97" s="18" t="s">
        <v>74</v>
      </c>
      <c r="I97" s="18" t="s">
        <v>184</v>
      </c>
      <c r="J97" s="18" t="s">
        <v>184</v>
      </c>
      <c r="K97" s="18" t="s">
        <v>184</v>
      </c>
      <c r="L97" s="18" t="s">
        <v>184</v>
      </c>
      <c r="M97" s="18" t="s">
        <v>184</v>
      </c>
      <c r="N97" s="18" t="s">
        <v>841</v>
      </c>
      <c r="O97" s="21" t="s">
        <v>137</v>
      </c>
    </row>
    <row r="98" customFormat="false" ht="15" hidden="false" customHeight="false" outlineLevel="0" collapsed="false">
      <c r="A98" s="18" t="s">
        <v>842</v>
      </c>
      <c r="B98" s="18" t="s">
        <v>830</v>
      </c>
      <c r="C98" s="18" t="s">
        <v>5</v>
      </c>
      <c r="D98" s="18" t="s">
        <v>843</v>
      </c>
      <c r="E98" s="20" t="s">
        <v>12</v>
      </c>
      <c r="F98" s="18" t="s">
        <v>844</v>
      </c>
      <c r="G98" s="18" t="s">
        <v>845</v>
      </c>
      <c r="H98" s="18" t="s">
        <v>74</v>
      </c>
      <c r="I98" s="18" t="s">
        <v>184</v>
      </c>
      <c r="J98" s="18" t="s">
        <v>184</v>
      </c>
      <c r="K98" s="18" t="s">
        <v>184</v>
      </c>
      <c r="L98" s="18" t="s">
        <v>184</v>
      </c>
      <c r="M98" s="18" t="s">
        <v>184</v>
      </c>
      <c r="N98" s="18" t="s">
        <v>846</v>
      </c>
      <c r="O98" s="21" t="s">
        <v>108</v>
      </c>
    </row>
    <row r="99" customFormat="false" ht="22.35" hidden="false" customHeight="false" outlineLevel="0" collapsed="false">
      <c r="A99" s="18" t="s">
        <v>847</v>
      </c>
      <c r="B99" s="18" t="s">
        <v>848</v>
      </c>
      <c r="C99" s="18" t="s">
        <v>4</v>
      </c>
      <c r="D99" s="18" t="s">
        <v>849</v>
      </c>
      <c r="E99" s="22" t="s">
        <v>11</v>
      </c>
      <c r="F99" s="18" t="s">
        <v>850</v>
      </c>
      <c r="G99" s="18" t="s">
        <v>851</v>
      </c>
      <c r="H99" s="18" t="s">
        <v>74</v>
      </c>
      <c r="I99" s="18" t="s">
        <v>11</v>
      </c>
      <c r="J99" s="18" t="s">
        <v>184</v>
      </c>
      <c r="K99" s="18" t="s">
        <v>176</v>
      </c>
      <c r="L99" s="18" t="s">
        <v>176</v>
      </c>
      <c r="M99" s="18" t="s">
        <v>852</v>
      </c>
      <c r="N99" s="18"/>
      <c r="O99" s="21" t="s">
        <v>88</v>
      </c>
    </row>
    <row r="100" customFormat="false" ht="32.8" hidden="false" customHeight="false" outlineLevel="0" collapsed="false">
      <c r="A100" s="18" t="s">
        <v>853</v>
      </c>
      <c r="B100" s="18" t="s">
        <v>848</v>
      </c>
      <c r="C100" s="18" t="s">
        <v>4</v>
      </c>
      <c r="D100" s="18" t="s">
        <v>854</v>
      </c>
      <c r="E100" s="22" t="s">
        <v>11</v>
      </c>
      <c r="F100" s="18" t="s">
        <v>855</v>
      </c>
      <c r="G100" s="18" t="s">
        <v>856</v>
      </c>
      <c r="H100" s="18" t="s">
        <v>857</v>
      </c>
      <c r="I100" s="18" t="s">
        <v>11</v>
      </c>
      <c r="J100" s="18" t="s">
        <v>11</v>
      </c>
      <c r="K100" s="18" t="s">
        <v>176</v>
      </c>
      <c r="L100" s="18" t="s">
        <v>176</v>
      </c>
      <c r="M100" s="18" t="s">
        <v>13</v>
      </c>
      <c r="N100" s="18"/>
      <c r="O100" s="21" t="s">
        <v>88</v>
      </c>
    </row>
    <row r="101" customFormat="false" ht="15" hidden="false" customHeight="false" outlineLevel="0" collapsed="false">
      <c r="A101" s="18" t="s">
        <v>858</v>
      </c>
      <c r="B101" s="18" t="s">
        <v>848</v>
      </c>
      <c r="C101" s="18" t="s">
        <v>5</v>
      </c>
      <c r="D101" s="18" t="s">
        <v>859</v>
      </c>
      <c r="E101" s="20" t="s">
        <v>12</v>
      </c>
      <c r="F101" s="18" t="s">
        <v>860</v>
      </c>
      <c r="G101" s="18" t="s">
        <v>861</v>
      </c>
      <c r="H101" s="18" t="s">
        <v>74</v>
      </c>
      <c r="I101" s="18" t="s">
        <v>184</v>
      </c>
      <c r="J101" s="18" t="s">
        <v>184</v>
      </c>
      <c r="K101" s="18" t="s">
        <v>184</v>
      </c>
      <c r="L101" s="18" t="s">
        <v>184</v>
      </c>
      <c r="M101" s="18" t="s">
        <v>184</v>
      </c>
      <c r="N101" s="18"/>
      <c r="O101" s="21" t="s">
        <v>108</v>
      </c>
    </row>
    <row r="102" customFormat="false" ht="15" hidden="false" customHeight="false" outlineLevel="0" collapsed="false">
      <c r="A102" s="18" t="s">
        <v>862</v>
      </c>
      <c r="B102" s="18" t="s">
        <v>848</v>
      </c>
      <c r="C102" s="18" t="s">
        <v>5</v>
      </c>
      <c r="D102" s="18" t="s">
        <v>863</v>
      </c>
      <c r="E102" s="20" t="s">
        <v>12</v>
      </c>
      <c r="F102" s="18" t="s">
        <v>864</v>
      </c>
      <c r="G102" s="18" t="s">
        <v>865</v>
      </c>
      <c r="H102" s="18" t="s">
        <v>74</v>
      </c>
      <c r="I102" s="18" t="s">
        <v>184</v>
      </c>
      <c r="J102" s="18" t="s">
        <v>184</v>
      </c>
      <c r="K102" s="18" t="s">
        <v>184</v>
      </c>
      <c r="L102" s="18" t="s">
        <v>184</v>
      </c>
      <c r="M102" s="18" t="s">
        <v>184</v>
      </c>
      <c r="N102" s="18"/>
      <c r="O102" s="21" t="s">
        <v>108</v>
      </c>
    </row>
    <row r="103" customFormat="false" ht="22.35" hidden="false" customHeight="false" outlineLevel="0" collapsed="false">
      <c r="A103" s="18" t="s">
        <v>866</v>
      </c>
      <c r="B103" s="18" t="s">
        <v>848</v>
      </c>
      <c r="C103" s="18" t="s">
        <v>4</v>
      </c>
      <c r="D103" s="18" t="s">
        <v>867</v>
      </c>
      <c r="E103" s="22" t="s">
        <v>11</v>
      </c>
      <c r="F103" s="18" t="s">
        <v>868</v>
      </c>
      <c r="G103" s="18" t="s">
        <v>869</v>
      </c>
      <c r="H103" s="18" t="s">
        <v>870</v>
      </c>
      <c r="I103" s="18" t="s">
        <v>11</v>
      </c>
      <c r="J103" s="18" t="s">
        <v>871</v>
      </c>
      <c r="K103" s="18" t="s">
        <v>176</v>
      </c>
      <c r="L103" s="18" t="s">
        <v>176</v>
      </c>
      <c r="M103" s="18" t="s">
        <v>13</v>
      </c>
      <c r="N103" s="18"/>
      <c r="O103" s="21" t="s">
        <v>78</v>
      </c>
    </row>
    <row r="104" customFormat="false" ht="22.35" hidden="false" customHeight="false" outlineLevel="0" collapsed="false">
      <c r="A104" s="18" t="s">
        <v>872</v>
      </c>
      <c r="B104" s="18" t="s">
        <v>873</v>
      </c>
      <c r="C104" s="18" t="s">
        <v>4</v>
      </c>
      <c r="D104" s="18" t="s">
        <v>874</v>
      </c>
      <c r="E104" s="22" t="s">
        <v>11</v>
      </c>
      <c r="F104" s="18" t="s">
        <v>875</v>
      </c>
      <c r="G104" s="18" t="s">
        <v>876</v>
      </c>
      <c r="H104" s="18" t="s">
        <v>74</v>
      </c>
      <c r="I104" s="18" t="s">
        <v>11</v>
      </c>
      <c r="J104" s="18" t="s">
        <v>184</v>
      </c>
      <c r="K104" s="18" t="s">
        <v>176</v>
      </c>
      <c r="L104" s="18" t="s">
        <v>176</v>
      </c>
      <c r="M104" s="18" t="s">
        <v>184</v>
      </c>
      <c r="N104" s="18"/>
      <c r="O104" s="21" t="s">
        <v>78</v>
      </c>
    </row>
    <row r="105" customFormat="false" ht="15" hidden="false" customHeight="false" outlineLevel="0" collapsed="false">
      <c r="A105" s="18" t="s">
        <v>877</v>
      </c>
      <c r="B105" s="18" t="s">
        <v>873</v>
      </c>
      <c r="C105" s="18" t="s">
        <v>4</v>
      </c>
      <c r="D105" s="18" t="s">
        <v>878</v>
      </c>
      <c r="E105" s="20" t="s">
        <v>12</v>
      </c>
      <c r="F105" s="18" t="s">
        <v>879</v>
      </c>
      <c r="G105" s="18" t="s">
        <v>880</v>
      </c>
      <c r="H105" s="18" t="s">
        <v>74</v>
      </c>
      <c r="I105" s="18" t="s">
        <v>184</v>
      </c>
      <c r="J105" s="18" t="s">
        <v>184</v>
      </c>
      <c r="K105" s="18" t="s">
        <v>184</v>
      </c>
      <c r="L105" s="18" t="s">
        <v>184</v>
      </c>
      <c r="M105" s="18" t="s">
        <v>184</v>
      </c>
      <c r="N105" s="18"/>
      <c r="O105" s="21" t="s">
        <v>78</v>
      </c>
    </row>
    <row r="106" customFormat="false" ht="32.8" hidden="false" customHeight="false" outlineLevel="0" collapsed="false">
      <c r="A106" s="18" t="s">
        <v>881</v>
      </c>
      <c r="B106" s="18" t="s">
        <v>873</v>
      </c>
      <c r="C106" s="18" t="s">
        <v>4</v>
      </c>
      <c r="D106" s="18" t="s">
        <v>882</v>
      </c>
      <c r="E106" s="20" t="s">
        <v>12</v>
      </c>
      <c r="F106" s="18" t="s">
        <v>883</v>
      </c>
      <c r="G106" s="18" t="s">
        <v>884</v>
      </c>
      <c r="H106" s="18" t="s">
        <v>74</v>
      </c>
      <c r="I106" s="18" t="s">
        <v>184</v>
      </c>
      <c r="J106" s="18" t="s">
        <v>184</v>
      </c>
      <c r="K106" s="18" t="s">
        <v>184</v>
      </c>
      <c r="L106" s="18" t="s">
        <v>184</v>
      </c>
      <c r="M106" s="18" t="s">
        <v>502</v>
      </c>
      <c r="N106" s="18"/>
      <c r="O106" s="21" t="s">
        <v>78</v>
      </c>
    </row>
    <row r="107" customFormat="false" ht="22.35" hidden="false" customHeight="false" outlineLevel="0" collapsed="false">
      <c r="A107" s="18" t="s">
        <v>885</v>
      </c>
      <c r="B107" s="18" t="s">
        <v>873</v>
      </c>
      <c r="C107" s="18" t="s">
        <v>5</v>
      </c>
      <c r="D107" s="18" t="s">
        <v>886</v>
      </c>
      <c r="E107" s="20" t="s">
        <v>12</v>
      </c>
      <c r="F107" s="18" t="s">
        <v>887</v>
      </c>
      <c r="G107" s="18" t="s">
        <v>888</v>
      </c>
      <c r="H107" s="18" t="s">
        <v>74</v>
      </c>
      <c r="I107" s="18" t="s">
        <v>184</v>
      </c>
      <c r="J107" s="18" t="s">
        <v>184</v>
      </c>
      <c r="K107" s="18" t="s">
        <v>184</v>
      </c>
      <c r="L107" s="18" t="s">
        <v>184</v>
      </c>
      <c r="M107" s="18" t="s">
        <v>184</v>
      </c>
      <c r="N107" s="18"/>
      <c r="O107" s="21" t="s">
        <v>108</v>
      </c>
    </row>
    <row r="108" customFormat="false" ht="22.35" hidden="false" customHeight="false" outlineLevel="0" collapsed="false">
      <c r="A108" s="18" t="s">
        <v>889</v>
      </c>
      <c r="B108" s="18" t="s">
        <v>873</v>
      </c>
      <c r="C108" s="18" t="s">
        <v>4</v>
      </c>
      <c r="D108" s="18" t="s">
        <v>890</v>
      </c>
      <c r="E108" s="22" t="s">
        <v>11</v>
      </c>
      <c r="F108" s="18" t="s">
        <v>891</v>
      </c>
      <c r="G108" s="18" t="s">
        <v>892</v>
      </c>
      <c r="H108" s="18" t="s">
        <v>893</v>
      </c>
      <c r="I108" s="18" t="s">
        <v>176</v>
      </c>
      <c r="J108" s="18" t="s">
        <v>13</v>
      </c>
      <c r="K108" s="18" t="s">
        <v>176</v>
      </c>
      <c r="L108" s="18" t="s">
        <v>176</v>
      </c>
      <c r="M108" s="18" t="s">
        <v>11</v>
      </c>
      <c r="N108" s="18"/>
      <c r="O108" s="21" t="s">
        <v>108</v>
      </c>
    </row>
    <row r="109" customFormat="false" ht="22.35" hidden="false" customHeight="false" outlineLevel="0" collapsed="false">
      <c r="A109" s="18" t="s">
        <v>894</v>
      </c>
      <c r="B109" s="18" t="s">
        <v>895</v>
      </c>
      <c r="C109" s="18" t="s">
        <v>4</v>
      </c>
      <c r="D109" s="18" t="s">
        <v>896</v>
      </c>
      <c r="E109" s="22" t="s">
        <v>11</v>
      </c>
      <c r="F109" s="18" t="s">
        <v>897</v>
      </c>
      <c r="G109" s="18" t="s">
        <v>898</v>
      </c>
      <c r="H109" s="18" t="s">
        <v>74</v>
      </c>
      <c r="I109" s="18" t="s">
        <v>11</v>
      </c>
      <c r="J109" s="18" t="s">
        <v>184</v>
      </c>
      <c r="K109" s="18" t="s">
        <v>176</v>
      </c>
      <c r="L109" s="18" t="s">
        <v>176</v>
      </c>
      <c r="M109" s="18" t="s">
        <v>184</v>
      </c>
      <c r="N109" s="18" t="s">
        <v>899</v>
      </c>
      <c r="O109" s="21" t="s">
        <v>78</v>
      </c>
    </row>
    <row r="110" customFormat="false" ht="22.35" hidden="false" customHeight="false" outlineLevel="0" collapsed="false">
      <c r="A110" s="18" t="s">
        <v>900</v>
      </c>
      <c r="B110" s="18" t="s">
        <v>895</v>
      </c>
      <c r="C110" s="18" t="s">
        <v>4</v>
      </c>
      <c r="D110" s="18" t="s">
        <v>901</v>
      </c>
      <c r="E110" s="22" t="s">
        <v>11</v>
      </c>
      <c r="F110" s="18" t="s">
        <v>902</v>
      </c>
      <c r="G110" s="18" t="s">
        <v>903</v>
      </c>
      <c r="H110" s="18" t="s">
        <v>904</v>
      </c>
      <c r="I110" s="18" t="s">
        <v>11</v>
      </c>
      <c r="J110" s="18" t="s">
        <v>11</v>
      </c>
      <c r="K110" s="18" t="s">
        <v>176</v>
      </c>
      <c r="L110" s="18" t="s">
        <v>176</v>
      </c>
      <c r="M110" s="18" t="s">
        <v>13</v>
      </c>
      <c r="N110" s="18"/>
      <c r="O110" s="21" t="s">
        <v>88</v>
      </c>
    </row>
    <row r="111" customFormat="false" ht="15" hidden="false" customHeight="false" outlineLevel="0" collapsed="false">
      <c r="A111" s="18" t="s">
        <v>905</v>
      </c>
      <c r="B111" s="18" t="s">
        <v>895</v>
      </c>
      <c r="C111" s="18" t="s">
        <v>4</v>
      </c>
      <c r="D111" s="18" t="s">
        <v>906</v>
      </c>
      <c r="E111" s="23" t="s">
        <v>13</v>
      </c>
      <c r="F111" s="18" t="s">
        <v>907</v>
      </c>
      <c r="G111" s="18" t="s">
        <v>908</v>
      </c>
      <c r="H111" s="18" t="s">
        <v>74</v>
      </c>
      <c r="I111" s="18" t="s">
        <v>13</v>
      </c>
      <c r="J111" s="18" t="s">
        <v>184</v>
      </c>
      <c r="K111" s="18" t="s">
        <v>176</v>
      </c>
      <c r="L111" s="18" t="s">
        <v>176</v>
      </c>
      <c r="M111" s="18" t="s">
        <v>184</v>
      </c>
      <c r="N111" s="18"/>
      <c r="O111" s="21" t="s">
        <v>98</v>
      </c>
    </row>
    <row r="112" customFormat="false" ht="15" hidden="false" customHeight="false" outlineLevel="0" collapsed="false">
      <c r="A112" s="18" t="s">
        <v>909</v>
      </c>
      <c r="B112" s="18" t="s">
        <v>895</v>
      </c>
      <c r="C112" s="18" t="s">
        <v>9</v>
      </c>
      <c r="D112" s="18" t="s">
        <v>910</v>
      </c>
      <c r="E112" s="28" t="s">
        <v>14</v>
      </c>
      <c r="F112" s="18" t="s">
        <v>482</v>
      </c>
      <c r="G112" s="18" t="s">
        <v>911</v>
      </c>
      <c r="H112" s="18" t="s">
        <v>74</v>
      </c>
      <c r="I112" s="18" t="s">
        <v>184</v>
      </c>
      <c r="J112" s="18" t="s">
        <v>184</v>
      </c>
      <c r="K112" s="18" t="s">
        <v>184</v>
      </c>
      <c r="L112" s="18" t="s">
        <v>184</v>
      </c>
      <c r="M112" s="18" t="s">
        <v>184</v>
      </c>
      <c r="N112" s="18" t="s">
        <v>912</v>
      </c>
      <c r="O112" s="21" t="s">
        <v>137</v>
      </c>
    </row>
    <row r="113" customFormat="false" ht="15" hidden="false" customHeight="false" outlineLevel="0" collapsed="false">
      <c r="A113" s="18" t="s">
        <v>913</v>
      </c>
      <c r="B113" s="18" t="s">
        <v>895</v>
      </c>
      <c r="C113" s="18" t="s">
        <v>4</v>
      </c>
      <c r="D113" s="18" t="s">
        <v>914</v>
      </c>
      <c r="E113" s="20" t="s">
        <v>12</v>
      </c>
      <c r="F113" s="18" t="s">
        <v>915</v>
      </c>
      <c r="G113" s="18" t="s">
        <v>916</v>
      </c>
      <c r="H113" s="18" t="s">
        <v>74</v>
      </c>
      <c r="I113" s="18" t="s">
        <v>184</v>
      </c>
      <c r="J113" s="18" t="s">
        <v>184</v>
      </c>
      <c r="K113" s="18" t="s">
        <v>184</v>
      </c>
      <c r="L113" s="18" t="s">
        <v>184</v>
      </c>
      <c r="M113" s="18" t="s">
        <v>184</v>
      </c>
      <c r="N113" s="18" t="s">
        <v>917</v>
      </c>
      <c r="O113" s="21" t="s">
        <v>108</v>
      </c>
    </row>
    <row r="114" customFormat="false" ht="22.35" hidden="false" customHeight="false" outlineLevel="0" collapsed="false">
      <c r="A114" s="18" t="s">
        <v>918</v>
      </c>
      <c r="B114" s="18" t="s">
        <v>516</v>
      </c>
      <c r="C114" s="18" t="s">
        <v>4</v>
      </c>
      <c r="D114" s="18" t="s">
        <v>919</v>
      </c>
      <c r="E114" s="20" t="s">
        <v>12</v>
      </c>
      <c r="F114" s="18" t="s">
        <v>920</v>
      </c>
      <c r="G114" s="18" t="s">
        <v>921</v>
      </c>
      <c r="H114" s="18" t="s">
        <v>74</v>
      </c>
      <c r="I114" s="18" t="s">
        <v>176</v>
      </c>
      <c r="J114" s="18" t="s">
        <v>184</v>
      </c>
      <c r="K114" s="18" t="s">
        <v>176</v>
      </c>
      <c r="L114" s="18" t="s">
        <v>176</v>
      </c>
      <c r="M114" s="18" t="s">
        <v>325</v>
      </c>
      <c r="N114" s="18"/>
      <c r="O114" s="21" t="s">
        <v>78</v>
      </c>
    </row>
    <row r="115" customFormat="false" ht="32.8" hidden="false" customHeight="false" outlineLevel="0" collapsed="false">
      <c r="A115" s="18" t="s">
        <v>922</v>
      </c>
      <c r="B115" s="18" t="s">
        <v>387</v>
      </c>
      <c r="C115" s="18" t="s">
        <v>4</v>
      </c>
      <c r="D115" s="18" t="s">
        <v>923</v>
      </c>
      <c r="E115" s="20" t="s">
        <v>12</v>
      </c>
      <c r="F115" s="18" t="s">
        <v>924</v>
      </c>
      <c r="G115" s="18" t="s">
        <v>925</v>
      </c>
      <c r="H115" s="18" t="s">
        <v>74</v>
      </c>
      <c r="I115" s="18" t="s">
        <v>184</v>
      </c>
      <c r="J115" s="18" t="s">
        <v>184</v>
      </c>
      <c r="K115" s="18" t="s">
        <v>184</v>
      </c>
      <c r="L115" s="18" t="s">
        <v>184</v>
      </c>
      <c r="M115" s="18" t="s">
        <v>325</v>
      </c>
      <c r="N115" s="18"/>
      <c r="O115" s="21" t="s">
        <v>78</v>
      </c>
    </row>
    <row r="116" customFormat="false" ht="22.35" hidden="false" customHeight="false" outlineLevel="0" collapsed="false">
      <c r="A116" s="18" t="s">
        <v>926</v>
      </c>
      <c r="B116" s="18" t="s">
        <v>625</v>
      </c>
      <c r="C116" s="18" t="s">
        <v>4</v>
      </c>
      <c r="D116" s="18" t="s">
        <v>927</v>
      </c>
      <c r="E116" s="20" t="s">
        <v>12</v>
      </c>
      <c r="F116" s="18" t="s">
        <v>928</v>
      </c>
      <c r="G116" s="18" t="s">
        <v>929</v>
      </c>
      <c r="H116" s="18" t="s">
        <v>74</v>
      </c>
      <c r="I116" s="18" t="s">
        <v>176</v>
      </c>
      <c r="J116" s="18" t="s">
        <v>184</v>
      </c>
      <c r="K116" s="18" t="s">
        <v>176</v>
      </c>
      <c r="L116" s="18" t="s">
        <v>176</v>
      </c>
      <c r="M116" s="18" t="s">
        <v>325</v>
      </c>
      <c r="N116" s="18"/>
      <c r="O116" s="21" t="s">
        <v>78</v>
      </c>
    </row>
    <row r="117" customFormat="false" ht="22.35" hidden="false" customHeight="false" outlineLevel="0" collapsed="false">
      <c r="A117" s="18" t="s">
        <v>930</v>
      </c>
      <c r="B117" s="18" t="s">
        <v>602</v>
      </c>
      <c r="C117" s="18" t="s">
        <v>4</v>
      </c>
      <c r="D117" s="18" t="s">
        <v>931</v>
      </c>
      <c r="E117" s="20" t="s">
        <v>12</v>
      </c>
      <c r="F117" s="18" t="s">
        <v>932</v>
      </c>
      <c r="G117" s="18" t="s">
        <v>933</v>
      </c>
      <c r="H117" s="18" t="s">
        <v>934</v>
      </c>
      <c r="I117" s="18" t="s">
        <v>184</v>
      </c>
      <c r="J117" s="18" t="s">
        <v>184</v>
      </c>
      <c r="K117" s="18" t="s">
        <v>184</v>
      </c>
      <c r="L117" s="18" t="s">
        <v>184</v>
      </c>
      <c r="M117" s="18" t="s">
        <v>325</v>
      </c>
      <c r="N117" s="18" t="s">
        <v>935</v>
      </c>
      <c r="O117" s="21" t="s">
        <v>78</v>
      </c>
    </row>
    <row r="118" customFormat="false" ht="22.35" hidden="false" customHeight="false" outlineLevel="0" collapsed="false">
      <c r="A118" s="18" t="s">
        <v>936</v>
      </c>
      <c r="B118" s="18" t="s">
        <v>873</v>
      </c>
      <c r="C118" s="18" t="s">
        <v>4</v>
      </c>
      <c r="D118" s="18" t="s">
        <v>937</v>
      </c>
      <c r="E118" s="28" t="s">
        <v>14</v>
      </c>
      <c r="F118" s="18" t="s">
        <v>938</v>
      </c>
      <c r="G118" s="18" t="s">
        <v>939</v>
      </c>
      <c r="H118" s="18" t="s">
        <v>940</v>
      </c>
      <c r="I118" s="18" t="s">
        <v>176</v>
      </c>
      <c r="J118" s="18" t="s">
        <v>176</v>
      </c>
      <c r="K118" s="18" t="s">
        <v>176</v>
      </c>
      <c r="L118" s="18" t="s">
        <v>176</v>
      </c>
      <c r="M118" s="18" t="s">
        <v>655</v>
      </c>
      <c r="N118" s="18" t="s">
        <v>941</v>
      </c>
      <c r="O118" s="21" t="s">
        <v>68</v>
      </c>
    </row>
    <row r="119" customFormat="false" ht="22.35" hidden="false" customHeight="false" outlineLevel="0" collapsed="false">
      <c r="A119" s="18" t="s">
        <v>942</v>
      </c>
      <c r="B119" s="18" t="s">
        <v>387</v>
      </c>
      <c r="C119" s="18" t="s">
        <v>4</v>
      </c>
      <c r="D119" s="18" t="s">
        <v>943</v>
      </c>
      <c r="E119" s="20" t="s">
        <v>12</v>
      </c>
      <c r="F119" s="18" t="s">
        <v>944</v>
      </c>
      <c r="G119" s="18" t="s">
        <v>945</v>
      </c>
      <c r="H119" s="18" t="s">
        <v>74</v>
      </c>
      <c r="I119" s="18" t="s">
        <v>184</v>
      </c>
      <c r="J119" s="18" t="s">
        <v>184</v>
      </c>
      <c r="K119" s="18" t="s">
        <v>184</v>
      </c>
      <c r="L119" s="18" t="s">
        <v>184</v>
      </c>
      <c r="M119" s="18" t="s">
        <v>946</v>
      </c>
      <c r="N119" s="18" t="s">
        <v>947</v>
      </c>
      <c r="O119" s="21" t="s">
        <v>78</v>
      </c>
    </row>
  </sheetData>
  <autoFilter ref="A1:O119"/>
  <dataValidations count="1">
    <dataValidation allowBlank="false" errorStyle="stop" operator="between" showDropDown="false" showErrorMessage="false" showInputMessage="false" sqref="E2:E119" type="list">
      <formula1>"Done,Partial,Not built,Not verified,Needs decision"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60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9"/>
    <col collapsed="false" customWidth="true" hidden="false" outlineLevel="0" max="9" min="9" style="0" width="18"/>
  </cols>
  <sheetData>
    <row r="1" customFormat="false" ht="23.85" hidden="false" customHeight="false" outlineLevel="0" collapsed="false">
      <c r="A1" s="17" t="s">
        <v>153</v>
      </c>
      <c r="B1" s="17" t="s">
        <v>948</v>
      </c>
      <c r="C1" s="17" t="s">
        <v>2</v>
      </c>
      <c r="D1" s="17" t="s">
        <v>156</v>
      </c>
      <c r="E1" s="17" t="s">
        <v>380</v>
      </c>
      <c r="F1" s="17" t="s">
        <v>381</v>
      </c>
      <c r="G1" s="17" t="s">
        <v>382</v>
      </c>
      <c r="H1" s="17" t="s">
        <v>383</v>
      </c>
      <c r="I1" s="17" t="s">
        <v>384</v>
      </c>
    </row>
    <row r="2" customFormat="false" ht="22.35" hidden="false" customHeight="false" outlineLevel="0" collapsed="false">
      <c r="A2" s="18" t="s">
        <v>949</v>
      </c>
      <c r="B2" s="18" t="s">
        <v>950</v>
      </c>
      <c r="C2" s="25" t="s">
        <v>11</v>
      </c>
      <c r="D2" s="18" t="s">
        <v>951</v>
      </c>
      <c r="E2" s="18" t="s">
        <v>176</v>
      </c>
      <c r="F2" s="18" t="s">
        <v>176</v>
      </c>
      <c r="G2" s="18" t="s">
        <v>176</v>
      </c>
      <c r="H2" s="18" t="s">
        <v>176</v>
      </c>
      <c r="I2" s="18" t="s">
        <v>176</v>
      </c>
    </row>
    <row r="3" customFormat="false" ht="22.35" hidden="false" customHeight="false" outlineLevel="0" collapsed="false">
      <c r="A3" s="18" t="s">
        <v>952</v>
      </c>
      <c r="B3" s="18" t="s">
        <v>187</v>
      </c>
      <c r="C3" s="25" t="s">
        <v>11</v>
      </c>
      <c r="D3" s="18" t="s">
        <v>953</v>
      </c>
      <c r="E3" s="18" t="s">
        <v>176</v>
      </c>
      <c r="F3" s="18" t="s">
        <v>176</v>
      </c>
      <c r="G3" s="18" t="s">
        <v>176</v>
      </c>
      <c r="H3" s="18" t="s">
        <v>176</v>
      </c>
      <c r="I3" s="18" t="s">
        <v>954</v>
      </c>
    </row>
    <row r="4" customFormat="false" ht="15" hidden="false" customHeight="false" outlineLevel="0" collapsed="false">
      <c r="A4" s="18" t="s">
        <v>955</v>
      </c>
      <c r="B4" s="18" t="s">
        <v>956</v>
      </c>
      <c r="C4" s="24" t="s">
        <v>10</v>
      </c>
      <c r="D4" s="18" t="s">
        <v>957</v>
      </c>
      <c r="E4" s="18" t="s">
        <v>176</v>
      </c>
      <c r="F4" s="18" t="s">
        <v>176</v>
      </c>
      <c r="G4" s="18" t="s">
        <v>176</v>
      </c>
      <c r="H4" s="18" t="s">
        <v>176</v>
      </c>
      <c r="I4" s="18" t="s">
        <v>11</v>
      </c>
    </row>
    <row r="5" customFormat="false" ht="15" hidden="false" customHeight="false" outlineLevel="0" collapsed="false">
      <c r="A5" s="18" t="s">
        <v>958</v>
      </c>
      <c r="B5" s="18" t="s">
        <v>959</v>
      </c>
      <c r="C5" s="24" t="s">
        <v>10</v>
      </c>
      <c r="D5" s="18" t="s">
        <v>960</v>
      </c>
      <c r="E5" s="18" t="s">
        <v>176</v>
      </c>
      <c r="F5" s="18" t="s">
        <v>176</v>
      </c>
      <c r="G5" s="18" t="s">
        <v>176</v>
      </c>
      <c r="H5" s="18" t="s">
        <v>176</v>
      </c>
      <c r="I5" s="18" t="s">
        <v>11</v>
      </c>
    </row>
    <row r="6" customFormat="false" ht="22.35" hidden="false" customHeight="false" outlineLevel="0" collapsed="false">
      <c r="A6" s="18" t="s">
        <v>961</v>
      </c>
      <c r="B6" s="18" t="s">
        <v>962</v>
      </c>
      <c r="C6" s="25" t="s">
        <v>11</v>
      </c>
      <c r="D6" s="18" t="s">
        <v>963</v>
      </c>
      <c r="E6" s="18" t="s">
        <v>176</v>
      </c>
      <c r="F6" s="18" t="s">
        <v>176</v>
      </c>
      <c r="G6" s="18" t="s">
        <v>176</v>
      </c>
      <c r="H6" s="18" t="s">
        <v>176</v>
      </c>
      <c r="I6" s="18" t="s">
        <v>964</v>
      </c>
    </row>
    <row r="7" customFormat="false" ht="15" hidden="false" customHeight="false" outlineLevel="0" collapsed="false">
      <c r="A7" s="18" t="s">
        <v>965</v>
      </c>
      <c r="B7" s="18" t="s">
        <v>966</v>
      </c>
      <c r="C7" s="25" t="s">
        <v>11</v>
      </c>
      <c r="D7" s="18" t="s">
        <v>967</v>
      </c>
      <c r="E7" s="18" t="s">
        <v>176</v>
      </c>
      <c r="F7" s="18" t="s">
        <v>176</v>
      </c>
      <c r="G7" s="18" t="s">
        <v>176</v>
      </c>
      <c r="H7" s="18" t="s">
        <v>176</v>
      </c>
      <c r="I7" s="18" t="s">
        <v>572</v>
      </c>
    </row>
    <row r="8" customFormat="false" ht="22.35" hidden="false" customHeight="false" outlineLevel="0" collapsed="false">
      <c r="A8" s="18" t="s">
        <v>968</v>
      </c>
      <c r="B8" s="18" t="s">
        <v>969</v>
      </c>
      <c r="C8" s="25" t="s">
        <v>11</v>
      </c>
      <c r="D8" s="18" t="s">
        <v>970</v>
      </c>
      <c r="E8" s="18" t="s">
        <v>11</v>
      </c>
      <c r="F8" s="18" t="s">
        <v>11</v>
      </c>
      <c r="G8" s="18" t="s">
        <v>176</v>
      </c>
      <c r="H8" s="18" t="s">
        <v>176</v>
      </c>
      <c r="I8" s="18" t="s">
        <v>971</v>
      </c>
    </row>
    <row r="9" customFormat="false" ht="15" hidden="false" customHeight="false" outlineLevel="0" collapsed="false">
      <c r="A9" s="18" t="s">
        <v>972</v>
      </c>
      <c r="B9" s="18" t="s">
        <v>973</v>
      </c>
      <c r="C9" s="26" t="s">
        <v>12</v>
      </c>
      <c r="D9" s="18" t="s">
        <v>767</v>
      </c>
      <c r="E9" s="18" t="s">
        <v>184</v>
      </c>
      <c r="F9" s="18" t="s">
        <v>184</v>
      </c>
      <c r="G9" s="18" t="s">
        <v>184</v>
      </c>
      <c r="H9" s="18" t="s">
        <v>184</v>
      </c>
      <c r="I9" s="18" t="s">
        <v>184</v>
      </c>
    </row>
    <row r="10" customFormat="false" ht="15" hidden="false" customHeight="false" outlineLevel="0" collapsed="false">
      <c r="A10" s="18" t="s">
        <v>974</v>
      </c>
      <c r="B10" s="18" t="s">
        <v>975</v>
      </c>
      <c r="C10" s="26" t="s">
        <v>12</v>
      </c>
      <c r="D10" s="18" t="s">
        <v>976</v>
      </c>
      <c r="E10" s="18" t="s">
        <v>184</v>
      </c>
      <c r="F10" s="18" t="s">
        <v>184</v>
      </c>
      <c r="G10" s="18" t="s">
        <v>184</v>
      </c>
      <c r="H10" s="18" t="s">
        <v>184</v>
      </c>
      <c r="I10" s="18" t="s">
        <v>184</v>
      </c>
    </row>
    <row r="11" customFormat="false" ht="15" hidden="false" customHeight="false" outlineLevel="0" collapsed="false">
      <c r="A11" s="18" t="s">
        <v>977</v>
      </c>
      <c r="B11" s="18" t="s">
        <v>978</v>
      </c>
      <c r="C11" s="26" t="s">
        <v>12</v>
      </c>
      <c r="D11" s="18"/>
      <c r="E11" s="18" t="s">
        <v>184</v>
      </c>
      <c r="F11" s="18" t="s">
        <v>184</v>
      </c>
      <c r="G11" s="18" t="s">
        <v>184</v>
      </c>
      <c r="H11" s="18" t="s">
        <v>184</v>
      </c>
      <c r="I11" s="18" t="s">
        <v>184</v>
      </c>
    </row>
    <row r="12" customFormat="false" ht="15" hidden="false" customHeight="false" outlineLevel="0" collapsed="false">
      <c r="A12" s="18" t="s">
        <v>979</v>
      </c>
      <c r="B12" s="18" t="s">
        <v>45</v>
      </c>
      <c r="C12" s="26" t="s">
        <v>12</v>
      </c>
      <c r="D12" s="18" t="s">
        <v>980</v>
      </c>
      <c r="E12" s="18" t="s">
        <v>184</v>
      </c>
      <c r="F12" s="18" t="s">
        <v>184</v>
      </c>
      <c r="G12" s="18" t="s">
        <v>184</v>
      </c>
      <c r="H12" s="18" t="s">
        <v>184</v>
      </c>
      <c r="I12" s="18" t="s">
        <v>184</v>
      </c>
    </row>
    <row r="13" customFormat="false" ht="15" hidden="false" customHeight="false" outlineLevel="0" collapsed="false">
      <c r="A13" s="18" t="s">
        <v>981</v>
      </c>
      <c r="B13" s="18" t="s">
        <v>982</v>
      </c>
      <c r="C13" s="26" t="s">
        <v>12</v>
      </c>
      <c r="D13" s="18" t="s">
        <v>983</v>
      </c>
      <c r="E13" s="18" t="s">
        <v>184</v>
      </c>
      <c r="F13" s="18" t="s">
        <v>184</v>
      </c>
      <c r="G13" s="18" t="s">
        <v>184</v>
      </c>
      <c r="H13" s="18" t="s">
        <v>184</v>
      </c>
      <c r="I13" s="18" t="s">
        <v>184</v>
      </c>
    </row>
    <row r="14" customFormat="false" ht="15" hidden="false" customHeight="false" outlineLevel="0" collapsed="false">
      <c r="A14" s="18" t="s">
        <v>984</v>
      </c>
      <c r="B14" s="18" t="s">
        <v>985</v>
      </c>
      <c r="C14" s="25" t="s">
        <v>11</v>
      </c>
      <c r="D14" s="18" t="s">
        <v>986</v>
      </c>
      <c r="E14" s="18" t="s">
        <v>176</v>
      </c>
      <c r="F14" s="18" t="s">
        <v>705</v>
      </c>
      <c r="G14" s="18" t="s">
        <v>176</v>
      </c>
      <c r="H14" s="18" t="s">
        <v>176</v>
      </c>
      <c r="I14" s="18" t="s">
        <v>954</v>
      </c>
    </row>
    <row r="15" customFormat="false" ht="15" hidden="false" customHeight="false" outlineLevel="0" collapsed="false">
      <c r="A15" s="18" t="s">
        <v>132</v>
      </c>
      <c r="B15" s="18" t="s">
        <v>987</v>
      </c>
      <c r="C15" s="26" t="s">
        <v>12</v>
      </c>
      <c r="D15" s="18"/>
      <c r="E15" s="18" t="s">
        <v>184</v>
      </c>
      <c r="F15" s="18" t="s">
        <v>184</v>
      </c>
      <c r="G15" s="18" t="s">
        <v>184</v>
      </c>
      <c r="H15" s="18" t="s">
        <v>184</v>
      </c>
      <c r="I15" s="18" t="s">
        <v>184</v>
      </c>
    </row>
    <row r="16" customFormat="false" ht="15" hidden="false" customHeight="false" outlineLevel="0" collapsed="false">
      <c r="A16" s="18" t="s">
        <v>988</v>
      </c>
      <c r="B16" s="18" t="s">
        <v>989</v>
      </c>
      <c r="C16" s="26" t="s">
        <v>12</v>
      </c>
      <c r="D16" s="18"/>
      <c r="E16" s="18" t="s">
        <v>184</v>
      </c>
      <c r="F16" s="18" t="s">
        <v>184</v>
      </c>
      <c r="G16" s="18" t="s">
        <v>184</v>
      </c>
      <c r="H16" s="18" t="s">
        <v>184</v>
      </c>
      <c r="I16" s="18" t="s">
        <v>184</v>
      </c>
    </row>
    <row r="17" customFormat="false" ht="15" hidden="false" customHeight="false" outlineLevel="0" collapsed="false">
      <c r="A17" s="18" t="s">
        <v>990</v>
      </c>
      <c r="B17" s="18" t="s">
        <v>991</v>
      </c>
      <c r="C17" s="29" t="s">
        <v>13</v>
      </c>
      <c r="D17" s="18" t="s">
        <v>992</v>
      </c>
      <c r="E17" s="18" t="s">
        <v>954</v>
      </c>
      <c r="F17" s="18" t="s">
        <v>184</v>
      </c>
      <c r="G17" s="18" t="s">
        <v>176</v>
      </c>
      <c r="H17" s="18" t="s">
        <v>176</v>
      </c>
      <c r="I17" s="18" t="s">
        <v>184</v>
      </c>
    </row>
    <row r="18" customFormat="false" ht="15" hidden="false" customHeight="false" outlineLevel="0" collapsed="false">
      <c r="A18" s="18" t="s">
        <v>993</v>
      </c>
      <c r="B18" s="18" t="s">
        <v>994</v>
      </c>
      <c r="C18" s="25" t="s">
        <v>11</v>
      </c>
      <c r="D18" s="18" t="s">
        <v>995</v>
      </c>
      <c r="E18" s="18" t="s">
        <v>11</v>
      </c>
      <c r="F18" s="18" t="s">
        <v>11</v>
      </c>
      <c r="G18" s="18" t="s">
        <v>176</v>
      </c>
      <c r="H18" s="18" t="s">
        <v>176</v>
      </c>
      <c r="I18" s="18" t="s">
        <v>184</v>
      </c>
    </row>
    <row r="19" customFormat="false" ht="15" hidden="false" customHeight="false" outlineLevel="0" collapsed="false">
      <c r="A19" s="18" t="s">
        <v>996</v>
      </c>
      <c r="B19" s="18" t="s">
        <v>48</v>
      </c>
      <c r="C19" s="25" t="s">
        <v>11</v>
      </c>
      <c r="D19" s="18" t="s">
        <v>997</v>
      </c>
      <c r="E19" s="18" t="s">
        <v>11</v>
      </c>
      <c r="F19" s="18" t="s">
        <v>184</v>
      </c>
      <c r="G19" s="18" t="s">
        <v>176</v>
      </c>
      <c r="H19" s="18" t="s">
        <v>176</v>
      </c>
      <c r="I19" s="18" t="s">
        <v>954</v>
      </c>
    </row>
    <row r="20" customFormat="false" ht="15" hidden="false" customHeight="false" outlineLevel="0" collapsed="false">
      <c r="A20" s="18" t="s">
        <v>998</v>
      </c>
      <c r="B20" s="18" t="s">
        <v>999</v>
      </c>
      <c r="C20" s="25" t="s">
        <v>11</v>
      </c>
      <c r="D20" s="18" t="s">
        <v>1000</v>
      </c>
      <c r="E20" s="18" t="s">
        <v>11</v>
      </c>
      <c r="F20" s="18" t="s">
        <v>184</v>
      </c>
      <c r="G20" s="18" t="s">
        <v>176</v>
      </c>
      <c r="H20" s="18" t="s">
        <v>176</v>
      </c>
      <c r="I20" s="18" t="s">
        <v>954</v>
      </c>
    </row>
    <row r="21" customFormat="false" ht="22.35" hidden="false" customHeight="false" outlineLevel="0" collapsed="false">
      <c r="A21" s="18" t="s">
        <v>1001</v>
      </c>
      <c r="B21" s="18" t="s">
        <v>1002</v>
      </c>
      <c r="C21" s="25" t="s">
        <v>11</v>
      </c>
      <c r="D21" s="18" t="s">
        <v>1003</v>
      </c>
      <c r="E21" s="18" t="s">
        <v>11</v>
      </c>
      <c r="F21" s="18" t="s">
        <v>599</v>
      </c>
      <c r="G21" s="18" t="s">
        <v>599</v>
      </c>
      <c r="H21" s="18" t="s">
        <v>176</v>
      </c>
      <c r="I21" s="18" t="s">
        <v>11</v>
      </c>
    </row>
  </sheetData>
  <autoFilter ref="A1:I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70"/>
    <col collapsed="false" customWidth="true" hidden="false" outlineLevel="0" max="5" min="5" style="0" width="34"/>
  </cols>
  <sheetData>
    <row r="1" customFormat="false" ht="15" hidden="false" customHeight="false" outlineLevel="0" collapsed="false">
      <c r="A1" s="17" t="s">
        <v>1004</v>
      </c>
      <c r="B1" s="17" t="s">
        <v>375</v>
      </c>
      <c r="C1" s="17" t="s">
        <v>1005</v>
      </c>
      <c r="D1" s="17" t="s">
        <v>1006</v>
      </c>
      <c r="E1" s="19" t="s">
        <v>1007</v>
      </c>
    </row>
    <row r="2" customFormat="false" ht="15" hidden="false" customHeight="false" outlineLevel="0" collapsed="false">
      <c r="A2" s="18" t="s">
        <v>1008</v>
      </c>
      <c r="B2" s="18" t="s">
        <v>752</v>
      </c>
      <c r="C2" s="18" t="s">
        <v>1009</v>
      </c>
      <c r="D2" s="18" t="s">
        <v>1010</v>
      </c>
      <c r="E2" s="21" t="s">
        <v>68</v>
      </c>
    </row>
    <row r="3" customFormat="false" ht="15" hidden="false" customHeight="false" outlineLevel="0" collapsed="false">
      <c r="A3" s="18" t="s">
        <v>1011</v>
      </c>
      <c r="B3" s="18" t="s">
        <v>746</v>
      </c>
      <c r="C3" s="18" t="s">
        <v>1009</v>
      </c>
      <c r="D3" s="18" t="s">
        <v>1012</v>
      </c>
      <c r="E3" s="21" t="s">
        <v>68</v>
      </c>
    </row>
    <row r="4" customFormat="false" ht="15" hidden="false" customHeight="false" outlineLevel="0" collapsed="false">
      <c r="A4" s="18" t="s">
        <v>1013</v>
      </c>
      <c r="B4" s="18" t="s">
        <v>759</v>
      </c>
      <c r="C4" s="18" t="s">
        <v>1009</v>
      </c>
      <c r="D4" s="18" t="s">
        <v>1014</v>
      </c>
      <c r="E4" s="21" t="s">
        <v>68</v>
      </c>
    </row>
    <row r="5" customFormat="false" ht="15" hidden="false" customHeight="false" outlineLevel="0" collapsed="false">
      <c r="A5" s="18" t="s">
        <v>1015</v>
      </c>
      <c r="B5" s="18" t="s">
        <v>557</v>
      </c>
      <c r="C5" s="18" t="s">
        <v>1016</v>
      </c>
      <c r="D5" s="18" t="s">
        <v>1017</v>
      </c>
      <c r="E5" s="21" t="s">
        <v>68</v>
      </c>
    </row>
    <row r="6" customFormat="false" ht="15" hidden="false" customHeight="false" outlineLevel="0" collapsed="false">
      <c r="A6" s="18" t="s">
        <v>650</v>
      </c>
      <c r="B6" s="18" t="s">
        <v>679</v>
      </c>
      <c r="C6" s="18" t="s">
        <v>1009</v>
      </c>
      <c r="D6" s="18" t="s">
        <v>1018</v>
      </c>
      <c r="E6" s="21" t="s">
        <v>118</v>
      </c>
    </row>
    <row r="7" customFormat="false" ht="15" hidden="false" customHeight="false" outlineLevel="0" collapsed="false">
      <c r="A7" s="18" t="s">
        <v>1019</v>
      </c>
      <c r="B7" s="18" t="s">
        <v>695</v>
      </c>
      <c r="C7" s="18" t="s">
        <v>1009</v>
      </c>
      <c r="D7" s="18" t="s">
        <v>1020</v>
      </c>
      <c r="E7" s="21" t="s">
        <v>68</v>
      </c>
    </row>
    <row r="8" customFormat="false" ht="15" hidden="false" customHeight="false" outlineLevel="0" collapsed="false">
      <c r="A8" s="18" t="s">
        <v>1021</v>
      </c>
      <c r="B8" s="18" t="s">
        <v>818</v>
      </c>
      <c r="C8" s="18" t="s">
        <v>1009</v>
      </c>
      <c r="D8" s="18" t="s">
        <v>1022</v>
      </c>
      <c r="E8" s="21" t="s">
        <v>68</v>
      </c>
    </row>
    <row r="9" customFormat="false" ht="15" hidden="false" customHeight="false" outlineLevel="0" collapsed="false">
      <c r="A9" s="18" t="s">
        <v>1023</v>
      </c>
      <c r="B9" s="18" t="s">
        <v>830</v>
      </c>
      <c r="C9" s="18" t="s">
        <v>1009</v>
      </c>
      <c r="D9" s="18" t="s">
        <v>1024</v>
      </c>
      <c r="E9" s="21" t="s">
        <v>137</v>
      </c>
    </row>
    <row r="10" customFormat="false" ht="15" hidden="false" customHeight="false" outlineLevel="0" collapsed="false">
      <c r="A10" s="18" t="s">
        <v>1025</v>
      </c>
      <c r="B10" s="18" t="s">
        <v>602</v>
      </c>
      <c r="C10" s="18" t="s">
        <v>1026</v>
      </c>
      <c r="D10" s="18" t="s">
        <v>1027</v>
      </c>
      <c r="E10" s="21" t="s">
        <v>68</v>
      </c>
    </row>
    <row r="11" customFormat="false" ht="15" hidden="false" customHeight="false" outlineLevel="0" collapsed="false">
      <c r="A11" s="18" t="s">
        <v>1028</v>
      </c>
      <c r="B11" s="18" t="s">
        <v>804</v>
      </c>
      <c r="C11" s="18" t="s">
        <v>1029</v>
      </c>
      <c r="D11" s="18" t="s">
        <v>1030</v>
      </c>
      <c r="E11" s="21" t="s">
        <v>128</v>
      </c>
    </row>
    <row r="12" customFormat="false" ht="15" hidden="false" customHeight="false" outlineLevel="0" collapsed="false">
      <c r="A12" s="18" t="s">
        <v>1031</v>
      </c>
      <c r="B12" s="18" t="s">
        <v>811</v>
      </c>
      <c r="C12" s="18" t="s">
        <v>1009</v>
      </c>
      <c r="D12" s="18" t="s">
        <v>1032</v>
      </c>
      <c r="E12" s="21" t="s">
        <v>137</v>
      </c>
    </row>
    <row r="13" customFormat="false" ht="15" hidden="false" customHeight="false" outlineLevel="0" collapsed="false">
      <c r="A13" s="18" t="s">
        <v>656</v>
      </c>
      <c r="B13" s="18" t="s">
        <v>625</v>
      </c>
      <c r="C13" s="18" t="s">
        <v>1009</v>
      </c>
      <c r="D13" s="18" t="s">
        <v>1033</v>
      </c>
      <c r="E13" s="21" t="s">
        <v>118</v>
      </c>
    </row>
    <row r="14" customFormat="false" ht="15" hidden="false" customHeight="false" outlineLevel="0" collapsed="false">
      <c r="A14" s="18" t="s">
        <v>1034</v>
      </c>
      <c r="B14" s="18" t="s">
        <v>873</v>
      </c>
      <c r="C14" s="18" t="s">
        <v>1035</v>
      </c>
      <c r="D14" s="18" t="s">
        <v>1036</v>
      </c>
      <c r="E14" s="21" t="s">
        <v>68</v>
      </c>
    </row>
    <row r="15" customFormat="false" ht="22.35" hidden="false" customHeight="false" outlineLevel="0" collapsed="false">
      <c r="A15" s="18" t="s">
        <v>1037</v>
      </c>
      <c r="B15" s="18" t="s">
        <v>416</v>
      </c>
      <c r="C15" s="18" t="s">
        <v>1038</v>
      </c>
      <c r="D15" s="18" t="s">
        <v>1039</v>
      </c>
      <c r="E15" s="21" t="s">
        <v>68</v>
      </c>
    </row>
    <row r="16" customFormat="false" ht="15" hidden="false" customHeight="false" outlineLevel="0" collapsed="false">
      <c r="A16" s="18" t="s">
        <v>1040</v>
      </c>
      <c r="B16" s="18" t="s">
        <v>895</v>
      </c>
      <c r="C16" s="18" t="s">
        <v>1009</v>
      </c>
      <c r="D16" s="18" t="s">
        <v>1041</v>
      </c>
      <c r="E16" s="21" t="s">
        <v>137</v>
      </c>
    </row>
    <row r="17" customFormat="false" ht="15" hidden="false" customHeight="false" outlineLevel="0" collapsed="false">
      <c r="A17" s="18" t="s">
        <v>1042</v>
      </c>
      <c r="B17" s="18" t="s">
        <v>387</v>
      </c>
      <c r="C17" s="18" t="s">
        <v>1043</v>
      </c>
      <c r="D17" s="18" t="s">
        <v>1044</v>
      </c>
      <c r="E17" s="21" t="s">
        <v>68</v>
      </c>
    </row>
    <row r="18" customFormat="false" ht="15" hidden="false" customHeight="false" outlineLevel="0" collapsed="false">
      <c r="A18" s="18" t="s">
        <v>1045</v>
      </c>
      <c r="B18" s="18" t="s">
        <v>557</v>
      </c>
      <c r="C18" s="18" t="s">
        <v>1046</v>
      </c>
      <c r="D18" s="18" t="s">
        <v>1047</v>
      </c>
      <c r="E18" s="21" t="s">
        <v>68</v>
      </c>
    </row>
  </sheetData>
  <autoFilter ref="A1:D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2026-10-09T11:51:40Z</dcterms:created>
  <dc:creator>openpyxl</dc:creator>
  <dc:description/>
  <dc:language>en-US</dc:language>
  <cp:lastModifiedBy/>
  <dcterms:modified xsi:type="dcterms:W3CDTF">2026-10-09T11:51:41Z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